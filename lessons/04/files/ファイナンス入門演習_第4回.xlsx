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ab6359a1046c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NPV・IRR関数" sheetId="1" r:id="Rfc69c111a65c43e6"/>
    <x:sheet name="練習1" sheetId="2" r:id="R556cc2b35e424482"/>
    <x:sheet name="練習2" sheetId="3" r:id="R48c220347aec40ff"/>
    <x:sheet name="練習3" sheetId="4" r:id="Rab1401678ff542f4"/>
    <x:sheet name="練習4" sheetId="5" r:id="R3218d126cb66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"/>
    <x:numFmt numFmtId="201" formatCode="0.00%"/>
    <x:numFmt numFmtId="202" formatCode="0%"/>
    <x:numFmt numFmtId="203" formatCode="0.00"/>
    <x:numFmt numFmtId="204" formatCode="0"/>
    <x:numFmt numFmtId="205" formatCode="0.0%"/>
  </x:numFmts>
  <x:fonts count="6">
    <x:font>
      <x:sz val="11"/>
      <x:name val="Carlito"/>
    </x:font>
    <x:font>
      <x:sz val="11"/>
      <x:color rgb="FF202B30"/>
      <x:name val="Arial"/>
    </x:font>
    <x:font>
      <x:b/>
      <x:sz val="16"/>
      <x:color rgb="FF123F45"/>
      <x:name val="Arial"/>
    </x:font>
    <x:font>
      <x:sz val="11"/>
      <x:color rgb="FF52666C"/>
      <x:name val="Arial"/>
    </x:font>
    <x:font>
      <x:sz val="11"/>
      <x:color rgb="FF1565C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23F4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5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b209fbe718594054" /><Relationship Type="http://schemas.openxmlformats.org/officeDocument/2006/relationships/theme" Target="/xl/theme/theme1.xml" Id="R0bf2c2bdef8342f3" /><Relationship Type="http://schemas.openxmlformats.org/officeDocument/2006/relationships/sharedStrings" Target="/xl/sharedStrings.xml" Id="Re249b579db9b4bc5" /><Relationship Type="http://schemas.openxmlformats.org/officeDocument/2006/relationships/worksheet" Target="/xl/worksheets/sheet1.xml" Id="Rfc69c111a65c43e6" /><Relationship Type="http://schemas.openxmlformats.org/officeDocument/2006/relationships/worksheet" Target="/xl/worksheets/sheet2.xml" Id="R556cc2b35e424482" /><Relationship Type="http://schemas.openxmlformats.org/officeDocument/2006/relationships/worksheet" Target="/xl/worksheets/sheet3.xml" Id="R48c220347aec40ff" /><Relationship Type="http://schemas.openxmlformats.org/officeDocument/2006/relationships/worksheet" Target="/xl/worksheets/sheet4.xml" Id="Rab1401678ff542f4" /><Relationship Type="http://schemas.openxmlformats.org/officeDocument/2006/relationships/worksheet" Target="/xl/worksheets/sheet5.xml" Id="R3218d126cb66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25" hidden="0" customWidth="1"/>
    <x:col min="7" max="7" width="1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NPV・IRR関数：投資案を評価する</x:v>
      </x:c>
      <x:c r="C2" s="5"/>
      <x:c r="D2" s="5"/>
      <x:c r="E2" s="5"/>
      <x:c r="F2" s="5"/>
      <x:c r="G2" s="5"/>
      <x:c r="H2" s="5"/>
      <x:c r="I2" s="5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4" t="str">
        <x:v>初期投資100に対し、1年後30、2年後40、3年後60の期待CFが生じる。資本コストは年率10%。金額の単位は共通とします。</x:v>
      </x:c>
      <x:c r="C4" s="4"/>
      <x:c r="D4" s="4"/>
      <x:c r="E4" s="4"/>
      <x:c r="F4" s="4"/>
      <x:c r="G4" s="4"/>
      <x:c r="H4" s="4"/>
      <x:c r="I4" s="4"/>
      <x:c r="J4" s="3"/>
    </x:row>
    <x:row r="5" ht="25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6" t="inlineStr">
        <x:is>
          <x:t>黄色のセルに数式を入力してください。青字の数値は問題の条件です。</x:t>
        </x:is>
      </x:c>
      <x:c r="C7" s="6"/>
      <x:c r="D7" s="6"/>
      <x:c r="E7" s="6"/>
      <x:c r="F7" s="6"/>
      <x:c r="G7" s="6"/>
      <x:c r="H7" s="6"/>
      <x:c r="I7" s="6"/>
      <x:c r="J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0" customHeight="1">
      <x:c r="A9" s="3"/>
      <x:c r="B9" s="11" t="str">
        <x:v>時点 t（年）</x:v>
      </x:c>
      <x:c r="C9" s="11" t="str">
        <x:v>CF</x:v>
      </x:c>
      <x:c r="D9" s="11" t="str">
        <x:v>現在価値</x:v>
      </x:c>
      <x:c r="E9" s="3"/>
      <x:c r="F9" s="3"/>
      <x:c r="G9" s="3"/>
      <x:c r="H9" s="3"/>
      <x:c r="I9" s="3"/>
      <x:c r="J9" s="3"/>
    </x:row>
    <x:row r="10" ht="25" customHeight="1">
      <x:c r="A10" s="3"/>
      <x:c r="B10" s="7" t="n">
        <x:v>0</x:v>
      </x:c>
      <x:c r="C10" s="7" t="n">
        <x:v>-100</x:v>
      </x:c>
      <x:c r="D10" s="14"/>
      <x:c r="E10" s="3"/>
      <x:c r="F10" s="3" t="str">
        <x:v>資本コスト r</x:v>
      </x:c>
      <x:c r="G10" s="16" t="n">
        <x:v>0.1</x:v>
      </x:c>
      <x:c r="H10" s="3"/>
      <x:c r="I10" s="3"/>
      <x:c r="J10" s="3"/>
    </x:row>
    <x:row r="11" ht="25" customHeight="1">
      <x:c r="A11" s="3"/>
      <x:c r="B11" s="7" t="n">
        <x:v>1</x:v>
      </x:c>
      <x:c r="C11" s="7" t="n">
        <x:v>30</x:v>
      </x:c>
      <x:c r="D11" s="14"/>
      <x:c r="E11" s="3"/>
      <x:c r="F11" s="3"/>
      <x:c r="G11" s="3"/>
      <x:c r="H11" s="3"/>
      <x:c r="I11" s="3"/>
      <x:c r="J11" s="3"/>
    </x:row>
    <x:row r="12" ht="25" customHeight="1">
      <x:c r="A12" s="3"/>
      <x:c r="B12" s="7" t="n">
        <x:v>2</x:v>
      </x:c>
      <x:c r="C12" s="7" t="n">
        <x:v>40</x:v>
      </x:c>
      <x:c r="D12" s="14"/>
      <x:c r="E12" s="3"/>
      <x:c r="F12" s="3"/>
      <x:c r="G12" s="3"/>
      <x:c r="H12" s="3"/>
      <x:c r="I12" s="3"/>
      <x:c r="J12" s="3"/>
    </x:row>
    <x:row r="13" ht="25" customHeight="1">
      <x:c r="A13" s="3"/>
      <x:c r="B13" s="7" t="n">
        <x:v>3</x:v>
      </x:c>
      <x:c r="C13" s="7" t="n">
        <x:v>60</x:v>
      </x:c>
      <x:c r="D13" s="14"/>
      <x:c r="E13" s="3"/>
      <x:c r="F13" s="3"/>
      <x:c r="G13" s="3"/>
      <x:c r="H13" s="3"/>
      <x:c r="I13" s="3"/>
      <x:c r="J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5" customHeight="1">
      <x:c r="A16" s="3"/>
      <x:c r="B16" s="3" t="str">
        <x:v>NPV関数</x:v>
      </x:c>
      <x:c r="C16" s="14"/>
      <x:c r="D16" s="3"/>
      <x:c r="E16" s="3"/>
      <x:c r="F16" s="3"/>
      <x:c r="G16" s="3"/>
      <x:c r="H16" s="3"/>
      <x:c r="I16" s="3"/>
      <x:c r="J16" s="3"/>
    </x:row>
    <x:row r="17" ht="25" customHeight="1">
      <x:c r="A17" s="3"/>
      <x:c r="B17" s="3" t="str">
        <x:v>現在価値の合計</x:v>
      </x:c>
      <x:c r="C17" s="14"/>
      <x:c r="D17" s="3"/>
      <x:c r="E17" s="3"/>
      <x:c r="F17" s="3"/>
      <x:c r="G17" s="3"/>
      <x:c r="H17" s="3"/>
      <x:c r="I17" s="3"/>
      <x:c r="J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5" customHeight="1">
      <x:c r="A19" s="3"/>
      <x:c r="B19" s="3" t="str">
        <x:v>IRR関数</x:v>
      </x:c>
      <x:c r="C19" s="15"/>
      <x:c r="D19" s="3"/>
      <x:c r="E19" s="3"/>
      <x:c r="F19" s="3"/>
      <x:c r="G19" s="3"/>
      <x:c r="H19" s="3"/>
      <x:c r="I19" s="3"/>
      <x:c r="J19" s="3"/>
    </x:row>
    <x:row r="20" ht="25" customHeight="1">
      <x:c r="A20" s="3"/>
      <x:c r="B20" s="3" t="str">
        <x:v>IRRでのNPV</x:v>
      </x:c>
      <x:c r="C20" s="14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B22" s="6" t="str">
        <x:v>NPV関数：=NPV(資本コスト, 第1期以降のCF範囲)+第0期のCF</x:v>
      </x:c>
      <x:c r="C22" s="6"/>
      <x:c r="D22" s="6"/>
      <x:c r="E22" s="6"/>
      <x:c r="F22" s="6"/>
      <x:c r="G22" s="6"/>
      <x:c r="H22" s="6"/>
      <x:c r="I22" s="6"/>
      <x:c r="J22" s="3"/>
    </x:row>
    <x:row r="23" ht="25" customHeight="1">
      <x:c r="A23" s="3"/>
      <x:c r="B23" s="6"/>
      <x:c r="C23" s="6"/>
      <x:c r="D23" s="6"/>
      <x:c r="E23" s="6"/>
      <x:c r="F23" s="6"/>
      <x:c r="G23" s="6"/>
      <x:c r="H23" s="6"/>
      <x:c r="I23" s="6"/>
      <x:c r="J23" s="3"/>
    </x:row>
    <x:row r="24" ht="25" customHeight="1">
      <x:c r="A24" s="3"/>
      <x:c r="B24" s="6" t="str">
        <x:v>IRR関数：=IRR(第0期を含むCF範囲)。各期を一定間隔で並べます。</x:v>
      </x:c>
      <x:c r="C24" s="6"/>
      <x:c r="D24" s="6"/>
      <x:c r="E24" s="6"/>
      <x:c r="F24" s="6"/>
      <x:c r="G24" s="6"/>
      <x:c r="H24" s="6"/>
      <x:c r="I24" s="6"/>
      <x:c r="J24" s="3"/>
    </x:row>
    <x:row r="25" ht="25" customHeight="1">
      <x:c r="A25" s="3"/>
      <x:c r="B25" s="6"/>
      <x:c r="C25" s="6"/>
      <x:c r="D25" s="6"/>
      <x:c r="E25" s="6"/>
      <x:c r="F25" s="6"/>
      <x:c r="G25" s="6"/>
      <x:c r="H25" s="6"/>
      <x:c r="I25" s="6"/>
      <x:c r="J25" s="3"/>
    </x:row>
    <x:row r="26" ht="25" customHeight="1">
      <x:c r="A26" s="3"/>
      <x:c r="B26" s="6" t="str">
        <x:v>符号：キャッシュ・インフローは＋、キャッシュ・アウトフローは－で表します。</x:v>
      </x:c>
      <x:c r="C26" s="6"/>
      <x:c r="D26" s="6"/>
      <x:c r="E26" s="6"/>
      <x:c r="F26" s="6"/>
      <x:c r="G26" s="6"/>
      <x:c r="H26" s="6"/>
      <x:c r="I26" s="6"/>
      <x:c r="J26" s="3"/>
    </x:row>
    <x:row r="27" ht="25" customHeight="1">
      <x:c r="A27" s="3"/>
      <x:c r="B27" s="6"/>
      <x:c r="C27" s="6"/>
      <x:c r="D27" s="6"/>
      <x:c r="E27" s="6"/>
      <x:c r="F27" s="6"/>
      <x:c r="G27" s="6"/>
      <x:c r="H27" s="6"/>
      <x:c r="I27" s="6"/>
      <x:c r="J27" s="3"/>
    </x:row>
    <x:row r="28" ht="25" customHeight="1">
      <x:c r="A28" s="3"/>
      <x:c r="B28" s="6" t="str">
        <x:v>C16：=NPV(G10,C11:C13)+C10　C19：=IRR(C10:C13)</x:v>
      </x:c>
      <x:c r="C28" s="6"/>
      <x:c r="D28" s="6"/>
      <x:c r="E28" s="6"/>
      <x:c r="F28" s="6"/>
      <x:c r="G28" s="6"/>
      <x:c r="H28" s="6"/>
      <x:c r="I28" s="6"/>
      <x:c r="J28" s="3"/>
    </x:row>
    <x:row r="29" ht="25" customHeight="1">
      <x:c r="A29" s="3"/>
      <x:c r="B29" s="6"/>
      <x:c r="C29" s="6"/>
      <x:c r="D29" s="6"/>
      <x:c r="E29" s="6"/>
      <x:c r="F29" s="6"/>
      <x:c r="G29" s="6"/>
      <x:c r="H29" s="6"/>
      <x:c r="I29" s="6"/>
      <x:c r="J29" s="3"/>
    </x:row>
    <x:row r="30" ht="25" customHeight="1">
      <x:c r="A30" s="3"/>
      <x:c r="B30" s="6" t="str">
        <x:v>G10を13%に変えるとNPVは約−0.5425になります。IRRは変わりません。確認後10%に戻します。</x:v>
      </x:c>
      <x:c r="C30" s="6"/>
      <x:c r="D30" s="6"/>
      <x:c r="E30" s="6"/>
      <x:c r="F30" s="6"/>
      <x:c r="G30" s="6"/>
      <x:c r="H30" s="6"/>
      <x:c r="I30" s="6"/>
      <x:c r="J30" s="3"/>
    </x:row>
    <x:row r="31" ht="25" customHeight="1">
      <x:c r="A31" s="3"/>
      <x:c r="B31" s="6"/>
      <x:c r="C31" s="6"/>
      <x:c r="D31" s="6"/>
      <x:c r="E31" s="6"/>
      <x:c r="F31" s="6"/>
      <x:c r="G31" s="6"/>
      <x:c r="H31" s="6"/>
      <x:c r="I31" s="6"/>
      <x:c r="J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34" customHeight="1">
      <x:c r="A35" s="3"/>
      <x:c r="B35" s="5" t="str">
        <x:v>ミニ練習：NPV関数・IRR関数</x:v>
      </x:c>
      <x:c r="C35" s="5"/>
      <x:c r="D35" s="5"/>
      <x:c r="E35" s="5"/>
      <x:c r="F35" s="5"/>
      <x:c r="G35" s="5"/>
      <x:c r="H35" s="5"/>
      <x:c r="I35" s="5"/>
      <x:c r="J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5" customHeight="1">
      <x:c r="A37" s="3"/>
      <x:c r="B37" s="4" t="str">
        <x:v>初期投資100に対し、1年後と2年後にそれぞれ60のCFが生じる。資本コストは年率10%とする。NPVとIRRを求めなさい。</x:v>
      </x:c>
      <x:c r="C37" s="4"/>
      <x:c r="D37" s="4"/>
      <x:c r="E37" s="4"/>
      <x:c r="F37" s="4"/>
      <x:c r="G37" s="4"/>
      <x:c r="H37" s="4"/>
      <x:c r="I37" s="4"/>
      <x:c r="J37" s="3"/>
    </x:row>
    <x:row r="38" ht="2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25" customHeight="1">
      <x:c r="A40" s="3"/>
      <x:c r="B40" s="6" t="str">
        <x:v>NPV関数とIRR関数を使い、黄色のセルに自分で数式を入力してください。</x:v>
      </x:c>
      <x:c r="C40" s="6"/>
      <x:c r="D40" s="6"/>
      <x:c r="E40" s="6"/>
      <x:c r="F40" s="6"/>
      <x:c r="G40" s="6"/>
      <x:c r="H40" s="6"/>
      <x:c r="I40" s="6"/>
      <x:c r="J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0" customHeight="1">
      <x:c r="A42" s="3"/>
      <x:c r="B42" s="11" t="str">
        <x:v>時点 t（年）</x:v>
      </x:c>
      <x:c r="C42" s="11" t="str">
        <x:v>CF</x:v>
      </x:c>
      <x:c r="D42" s="3"/>
      <x:c r="E42" s="3"/>
      <x:c r="F42" s="3"/>
      <x:c r="G42" s="3"/>
      <x:c r="H42" s="3"/>
      <x:c r="I42" s="3"/>
      <x:c r="J42" s="3"/>
    </x:row>
    <x:row r="43" ht="25" customHeight="1">
      <x:c r="A43" s="3"/>
      <x:c r="B43" s="7" t="n">
        <x:v>0</x:v>
      </x:c>
      <x:c r="C43" s="7" t="n">
        <x:v>-100</x:v>
      </x:c>
      <x:c r="D43" s="3"/>
      <x:c r="E43" s="3"/>
      <x:c r="F43" s="3" t="str">
        <x:v>資本コスト r</x:v>
      </x:c>
      <x:c r="G43" s="16" t="n">
        <x:v>0.1</x:v>
      </x:c>
      <x:c r="H43" s="3"/>
      <x:c r="I43" s="3"/>
      <x:c r="J43" s="3"/>
    </x:row>
    <x:row r="44" ht="25" customHeight="1">
      <x:c r="A44" s="3"/>
      <x:c r="B44" s="7" t="n">
        <x:v>1</x:v>
      </x:c>
      <x:c r="C44" s="7" t="n">
        <x:v>60</x:v>
      </x:c>
      <x:c r="D44" s="3"/>
      <x:c r="E44" s="3"/>
      <x:c r="F44" s="3"/>
      <x:c r="G44" s="3"/>
      <x:c r="H44" s="3"/>
      <x:c r="I44" s="3"/>
      <x:c r="J44" s="3"/>
    </x:row>
    <x:row r="45" ht="25" customHeight="1">
      <x:c r="A45" s="3"/>
      <x:c r="B45" s="7" t="n">
        <x:v>2</x:v>
      </x:c>
      <x:c r="C45" s="7" t="n">
        <x:v>60</x:v>
      </x:c>
      <x:c r="D45" s="3"/>
      <x:c r="E45" s="3"/>
      <x:c r="F45" s="3"/>
      <x:c r="G45" s="3"/>
      <x:c r="H45" s="3"/>
      <x:c r="I45" s="3"/>
      <x:c r="J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</x:row>
    <x:row r="48" ht="25" customHeight="1">
      <x:c r="A48" s="3"/>
      <x:c r="B48" s="3" t="str">
        <x:v>NPV</x:v>
      </x:c>
      <x:c r="C48" s="14"/>
      <x:c r="D48" s="3"/>
      <x:c r="E48" s="3"/>
      <x:c r="F48" s="3"/>
      <x:c r="G48" s="3"/>
      <x:c r="H48" s="3"/>
      <x:c r="I48" s="3"/>
      <x:c r="J48" s="3"/>
    </x:row>
    <x:row r="49" ht="25" customHeight="1">
      <x:c r="A49" s="3"/>
      <x:c r="B49" s="3" t="str">
        <x:v>IRR</x:v>
      </x:c>
      <x:c r="C49" s="15"/>
      <x:c r="D49" s="3"/>
      <x:c r="E49" s="3"/>
      <x:c r="F49" s="3"/>
      <x:c r="G49" s="3"/>
      <x:c r="H49" s="3"/>
      <x:c r="I49" s="3"/>
      <x:c r="J49" s="3"/>
    </x:row>
    <x:row r="50" ht="25" customHeight="1">
      <x:c r="A50" s="3"/>
      <x:c r="B50" s="3" t="str">
        <x:v>求めたIRRでのNPV</x:v>
      </x:c>
      <x:c r="C50" s="14"/>
      <x:c r="D50" s="3"/>
      <x:c r="E50" s="3"/>
      <x:c r="F50" s="3"/>
      <x:c r="G50" s="3"/>
      <x:c r="H50" s="3"/>
      <x:c r="I50" s="3"/>
      <x:c r="J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</x:row>
    <x:row r="52" ht="25" customHeight="1">
      <x:c r="A52" s="3"/>
      <x:c r="B52" s="6" t="str">
        <x:v>求めたIRRを使ってNPVを計算し、ほぼ0になることを確認しましょう。</x:v>
      </x:c>
      <x:c r="C52" s="6"/>
      <x:c r="D52" s="6"/>
      <x:c r="E52" s="6"/>
      <x:c r="F52" s="6"/>
      <x:c r="G52" s="6"/>
      <x:c r="H52" s="6"/>
      <x:c r="I52" s="6"/>
      <x:c r="J52" s="3"/>
    </x:row>
    <x:row r="53" ht="25" customHeight="1">
      <x:c r="A53" s="3"/>
      <x:c r="B53" s="6"/>
      <x:c r="C53" s="6"/>
      <x:c r="D53" s="6"/>
      <x:c r="E53" s="6"/>
      <x:c r="F53" s="6"/>
      <x:c r="G53" s="6"/>
      <x:c r="H53" s="6"/>
      <x:c r="I53" s="6"/>
      <x:c r="J53" s="3"/>
    </x:row>
  </x:sheetData>
  <x:mergeCells>
    <x:mergeCell ref="B2:I2"/>
    <x:mergeCell ref="B4:I5"/>
    <x:mergeCell ref="B7:I7"/>
    <x:mergeCell ref="B22:I23"/>
    <x:mergeCell ref="B24:I25"/>
    <x:mergeCell ref="B26:I27"/>
    <x:mergeCell ref="B28:I29"/>
    <x:mergeCell ref="B30:I31"/>
    <x:mergeCell ref="B35:I35"/>
    <x:mergeCell ref="B37:I38"/>
    <x:mergeCell ref="B40:I40"/>
    <x:mergeCell ref="B52:I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25" hidden="0" customWidth="1"/>
    <x:col min="7" max="7" width="1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練習1　3年間・永久に続くCFのNPV</x:v>
      </x:c>
      <x:c r="C2" s="5"/>
      <x:c r="D2" s="5"/>
      <x:c r="E2" s="5"/>
      <x:c r="F2" s="5"/>
      <x:c r="G2" s="5"/>
      <x:c r="H2" s="5"/>
      <x:c r="I2" s="5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4" t="str">
        <x:v>ある企業が新規設備に28億円を投資する。1年後から毎年10億円の正のCFが生じ、資本コストは年率10%（年1回複利）とする。</x:v>
      </x:c>
      <x:c r="C4" s="4"/>
      <x:c r="D4" s="4"/>
      <x:c r="E4" s="4"/>
      <x:c r="F4" s="4"/>
      <x:c r="G4" s="4"/>
      <x:c r="H4" s="4"/>
      <x:c r="I4" s="4"/>
      <x:c r="J4" s="3"/>
    </x:row>
    <x:row r="5" ht="25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6" t="inlineStr">
        <x:is>
          <x:t>黄色のセルに数式を入力してください。青字の数値は問題の条件です。</x:t>
        </x:is>
      </x:c>
      <x:c r="C7" s="6"/>
      <x:c r="D7" s="6"/>
      <x:c r="E7" s="6"/>
      <x:c r="F7" s="6"/>
      <x:c r="G7" s="6"/>
      <x:c r="H7" s="6"/>
      <x:c r="I7" s="6"/>
      <x:c r="J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5" customHeight="1">
      <x:c r="A10" s="3"/>
      <x:c r="B10" s="3" t="str">
        <x:v>資本コスト r</x:v>
      </x:c>
      <x:c r="C10" s="16" t="n">
        <x:v>0.1</x:v>
      </x:c>
      <x:c r="D10" s="3"/>
      <x:c r="E10" s="3"/>
      <x:c r="F10" s="3"/>
      <x:c r="G10" s="3"/>
      <x:c r="H10" s="3"/>
      <x:c r="I10" s="3"/>
      <x:c r="J10" s="3"/>
    </x:row>
    <x:row r="11" ht="25" customHeight="1">
      <x:c r="A11" s="3"/>
      <x:c r="B11" s="3" t="str">
        <x:v>初期投資 I（億円）</x:v>
      </x:c>
      <x:c r="C11" s="7" t="n">
        <x:v>28</x:v>
      </x:c>
      <x:c r="D11" s="3"/>
      <x:c r="E11" s="3"/>
      <x:c r="F11" s="3"/>
      <x:c r="G11" s="3"/>
      <x:c r="H11" s="3"/>
      <x:c r="I11" s="3"/>
      <x:c r="J11" s="3"/>
    </x:row>
    <x:row r="12" ht="25" customHeight="1">
      <x:c r="A12" s="3"/>
      <x:c r="B12" s="3" t="str">
        <x:v>毎年のCF（億円）</x:v>
      </x:c>
      <x:c r="C12" s="7" t="n">
        <x:v>10</x:v>
      </x:c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30" customHeight="1">
      <x:c r="A14" s="3"/>
      <x:c r="B14" s="11" t="str">
        <x:v>時点 t（年）</x:v>
      </x:c>
      <x:c r="C14" s="11" t="str">
        <x:v>CF（億円）</x:v>
      </x:c>
      <x:c r="D14" s="11" t="str">
        <x:v>現在価値（億円）</x:v>
      </x:c>
      <x:c r="E14" s="3"/>
      <x:c r="F14" s="3"/>
      <x:c r="G14" s="3"/>
      <x:c r="H14" s="3"/>
      <x:c r="I14" s="3"/>
      <x:c r="J14" s="3"/>
    </x:row>
    <x:row r="15" ht="25" customHeight="1">
      <x:c r="A15" s="3"/>
      <x:c r="B15" s="7" t="n">
        <x:v>0</x:v>
      </x:c>
      <x:c r="C15" s="7" t="n">
        <x:f>-C11</x:f>
        <x:v>-28</x:v>
      </x:c>
      <x:c r="D15" s="14"/>
      <x:c r="E15" s="3"/>
      <x:c r="F15" s="3"/>
      <x:c r="G15" s="3"/>
      <x:c r="H15" s="3"/>
      <x:c r="I15" s="3"/>
      <x:c r="J15" s="3"/>
    </x:row>
    <x:row r="16" ht="25" customHeight="1">
      <x:c r="A16" s="3"/>
      <x:c r="B16" s="7" t="n">
        <x:v>1</x:v>
      </x:c>
      <x:c r="C16" s="7" t="n">
        <x:f>$C$12</x:f>
        <x:v>10</x:v>
      </x:c>
      <x:c r="D16" s="14"/>
      <x:c r="E16" s="3"/>
      <x:c r="F16" s="3"/>
      <x:c r="G16" s="3"/>
      <x:c r="H16" s="3"/>
      <x:c r="I16" s="3"/>
      <x:c r="J16" s="3"/>
    </x:row>
    <x:row r="17" ht="25" customHeight="1">
      <x:c r="A17" s="3"/>
      <x:c r="B17" s="7" t="n">
        <x:v>2</x:v>
      </x:c>
      <x:c r="C17" s="7" t="n">
        <x:f>$C$12</x:f>
        <x:v>10</x:v>
      </x:c>
      <x:c r="D17" s="14"/>
      <x:c r="E17" s="3"/>
      <x:c r="F17" s="3"/>
      <x:c r="G17" s="3"/>
      <x:c r="H17" s="3"/>
      <x:c r="I17" s="3"/>
      <x:c r="J17" s="3"/>
    </x:row>
    <x:row r="18" ht="25" customHeight="1">
      <x:c r="A18" s="3"/>
      <x:c r="B18" s="7" t="n">
        <x:v>3</x:v>
      </x:c>
      <x:c r="C18" s="7" t="n">
        <x:f>$C$12</x:f>
        <x:v>10</x:v>
      </x:c>
      <x:c r="D18" s="14"/>
      <x:c r="E18" s="3"/>
      <x:c r="F18" s="3"/>
      <x:c r="G18" s="3"/>
      <x:c r="H18" s="3"/>
      <x:c r="I18" s="3"/>
      <x:c r="J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5" customHeight="1">
      <x:c r="A20" s="3"/>
      <x:c r="B20" s="3" t="str">
        <x:v>問1：NPV（億円）</x:v>
      </x:c>
      <x:c r="C20" s="14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 t="str">
        <x:v>NPV関数で確認</x:v>
      </x:c>
      <x:c r="C21" s="14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D22" s="3"/>
      <x:c r="E22" s="3"/>
      <x:c r="F22" s="3"/>
      <x:c r="G22" s="3"/>
      <x:c r="H22" s="3"/>
      <x:c r="I22" s="3"/>
      <x:c r="J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5" customHeight="1">
      <x:c r="A24" s="3"/>
      <x:c r="B24" s="6" t="str">
        <x:v>問2：毎年10億円のCFが永久に続く場合のNPVを求めます。</x:v>
      </x:c>
      <x:c r="C24" s="6"/>
      <x:c r="D24" s="6"/>
      <x:c r="E24" s="6"/>
      <x:c r="F24" s="6"/>
      <x:c r="G24" s="6"/>
      <x:c r="H24" s="6"/>
      <x:c r="I24" s="6"/>
      <x:c r="J24" s="3"/>
    </x:row>
    <x:row r="25" ht="25" customHeight="1">
      <x:c r="A25" s="3"/>
      <x:c r="B25" s="6"/>
      <x:c r="C25" s="6"/>
      <x:c r="D25" s="6"/>
      <x:c r="E25" s="6"/>
      <x:c r="F25" s="6"/>
      <x:c r="G25" s="6"/>
      <x:c r="H25" s="6"/>
      <x:c r="I25" s="6"/>
      <x:c r="J25" s="3"/>
    </x:row>
    <x:row r="26" ht="25" customHeight="1">
      <x:c r="A26" s="3"/>
      <x:c r="B26" s="3" t="str">
        <x:v>永久年金の現在価値</x:v>
      </x:c>
      <x:c r="C26" s="14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3" t="str">
        <x:v>問2：NPV（億円）</x:v>
      </x:c>
      <x:c r="C27" s="14"/>
      <x:c r="D27" s="3"/>
      <x:c r="E27" s="3"/>
      <x:c r="F27" s="3"/>
      <x:c r="G27" s="3"/>
      <x:c r="H27" s="3"/>
      <x:c r="I27" s="3"/>
      <x:c r="J27" s="3"/>
    </x:row>
    <x:row r="28" ht="25" customHeight="1">
      <x:c r="A28" s="3"/>
      <x:c r="D28" s="3"/>
      <x:c r="E28" s="3"/>
      <x:c r="F28" s="3"/>
      <x:c r="G28" s="3"/>
      <x:c r="H28" s="3"/>
      <x:c r="I28" s="3"/>
      <x:c r="J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5" customHeight="1">
      <x:c r="A30" s="3"/>
      <x:c r="B30" s="6" t="str">
        <x:v>問1は3年間だけ、問2は永久に続く場合です。それぞれNPVの符号を確認します。</x:v>
      </x:c>
      <x:c r="C30" s="6"/>
      <x:c r="D30" s="6"/>
      <x:c r="E30" s="6"/>
      <x:c r="F30" s="6"/>
      <x:c r="G30" s="6"/>
      <x:c r="H30" s="6"/>
      <x:c r="I30" s="6"/>
      <x:c r="J30" s="3"/>
    </x:row>
    <x:row r="31" ht="25" customHeight="1">
      <x:c r="A31" s="3"/>
      <x:c r="B31" s="6"/>
      <x:c r="C31" s="6"/>
      <x:c r="D31" s="6"/>
      <x:c r="E31" s="6"/>
      <x:c r="F31" s="6"/>
      <x:c r="G31" s="6"/>
      <x:c r="H31" s="6"/>
      <x:c r="I31" s="6"/>
      <x:c r="J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</x:sheetData>
  <x:mergeCells>
    <x:mergeCell ref="B2:I2"/>
    <x:mergeCell ref="B4:I5"/>
    <x:mergeCell ref="B7:I7"/>
    <x:mergeCell ref="B24:I25"/>
    <x:mergeCell ref="B30:I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25" hidden="0" customWidth="1"/>
    <x:col min="7" max="7" width="1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練習2　資本コストとNPVプロファイル</x:v>
      </x:c>
      <x:c r="C2" s="5"/>
      <x:c r="D2" s="5"/>
      <x:c r="E2" s="5"/>
      <x:c r="F2" s="5"/>
      <x:c r="G2" s="5"/>
      <x:c r="H2" s="5"/>
      <x:c r="I2" s="5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4" t="str">
        <x:v>初期投資100に対し、1年後30、2年後40、3年後60のCFが生じる。資本コストを年率10.0%から15.0%まで0.5パーセントポイントずつ変え、NPVを計算し、NPVプロファイルを描きなさい。</x:v>
      </x:c>
      <x:c r="C4" s="4"/>
      <x:c r="D4" s="4"/>
      <x:c r="E4" s="4"/>
      <x:c r="F4" s="4"/>
      <x:c r="G4" s="4"/>
      <x:c r="H4" s="4"/>
      <x:c r="I4" s="4"/>
      <x:c r="J4" s="3"/>
    </x:row>
    <x:row r="5" ht="25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6" t="inlineStr">
        <x:is>
          <x:t xml:space="preserve">黄色のセルに数式を入力してください。青字の数値は問題の条件です。</x:t>
        </x:is>
      </x:c>
      <x:c r="C7" s="6"/>
      <x:c r="D7" s="6"/>
      <x:c r="E7" s="6"/>
      <x:c r="F7" s="6"/>
      <x:c r="G7" s="6"/>
      <x:c r="H7" s="6"/>
      <x:c r="I7" s="6"/>
      <x:c r="J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30" customHeight="1">
      <x:c r="A10" s="3"/>
      <x:c r="B10" s="11" t="str">
        <x:v>時点 t（年）</x:v>
      </x:c>
      <x:c r="C10" s="11" t="str">
        <x:v>CF</x:v>
      </x:c>
      <x:c r="D10" s="3"/>
      <x:c r="E10" s="3"/>
      <x:c r="F10" s="3"/>
      <x:c r="G10" s="3"/>
      <x:c r="H10" s="3"/>
      <x:c r="I10" s="3"/>
      <x:c r="J10" s="3"/>
    </x:row>
    <x:row r="11" ht="25" customHeight="1">
      <x:c r="A11" s="3"/>
      <x:c r="B11" s="7" t="n">
        <x:v>0</x:v>
      </x:c>
      <x:c r="C11" s="7" t="n">
        <x:v>-100</x:v>
      </x:c>
      <x:c r="D11" s="3"/>
      <x:c r="E11" s="3"/>
      <x:c r="F11" s="3"/>
      <x:c r="G11" s="3"/>
      <x:c r="H11" s="3"/>
      <x:c r="I11" s="3"/>
      <x:c r="J11" s="3"/>
    </x:row>
    <x:row r="12" ht="25" customHeight="1">
      <x:c r="A12" s="3"/>
      <x:c r="B12" s="7" t="n">
        <x:v>1</x:v>
      </x:c>
      <x:c r="C12" s="7" t="n">
        <x:v>30</x:v>
      </x:c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7" t="n">
        <x:v>2</x:v>
      </x:c>
      <x:c r="C13" s="7" t="n">
        <x:v>40</x:v>
      </x:c>
      <x:c r="D13" s="3"/>
      <x:c r="E13" s="3"/>
      <x:c r="F13" s="3"/>
      <x:c r="G13" s="3"/>
      <x:c r="H13" s="3"/>
      <x:c r="I13" s="3"/>
      <x:c r="J13" s="3"/>
    </x:row>
    <x:row r="14" ht="25" customHeight="1">
      <x:c r="A14" s="3"/>
      <x:c r="B14" s="7" t="n">
        <x:v>3</x:v>
      </x:c>
      <x:c r="C14" s="7" t="n">
        <x:v>60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30" customHeight="1">
      <x:c r="A17" s="3"/>
      <x:c r="B17" s="11" t="str">
        <x:v>資本コスト r</x:v>
      </x:c>
      <x:c r="C17" s="11" t="str">
        <x:v>NPV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3"/>
      <x:c r="B18" s="19" t="n">
        <x:v>0.1</x:v>
      </x:c>
      <x:c r="C18" s="14"/>
      <x:c r="D18" s="3"/>
      <x:c r="E18" s="3"/>
      <x:c r="F18" s="3"/>
      <x:c r="G18" s="3"/>
      <x:c r="H18" s="3"/>
      <x:c r="I18" s="3"/>
      <x:c r="J18" s="3"/>
    </x:row>
    <x:row r="19" ht="25" customHeight="1">
      <x:c r="A19" s="3"/>
      <x:c r="B19" s="19" t="n">
        <x:v>0.10500000000000001</x:v>
      </x:c>
      <x:c r="C19" s="14"/>
      <x:c r="D19" s="3"/>
      <x:c r="E19" s="3"/>
      <x:c r="F19" s="3"/>
      <x:c r="G19" s="3"/>
      <x:c r="H19" s="3"/>
      <x:c r="I19" s="3"/>
      <x:c r="J19" s="3"/>
    </x:row>
    <x:row r="20" ht="25" customHeight="1">
      <x:c r="A20" s="3"/>
      <x:c r="B20" s="19" t="n">
        <x:v>0.11</x:v>
      </x:c>
      <x:c r="C20" s="14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19" t="n">
        <x:v>0.115</x:v>
      </x:c>
      <x:c r="C21" s="14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B22" s="19" t="n">
        <x:v>0.12000000000000001</x:v>
      </x:c>
      <x:c r="C22" s="14"/>
      <x:c r="D22" s="3"/>
      <x:c r="E22" s="3"/>
      <x:c r="F22" s="3"/>
      <x:c r="G22" s="3"/>
      <x:c r="H22" s="3"/>
      <x:c r="I22" s="3"/>
      <x:c r="J22" s="3"/>
    </x:row>
    <x:row r="23" ht="25" customHeight="1">
      <x:c r="A23" s="3"/>
      <x:c r="B23" s="19" t="n">
        <x:v>0.125</x:v>
      </x:c>
      <x:c r="C23" s="14"/>
      <x:c r="D23" s="3"/>
      <x:c r="E23" s="3"/>
      <x:c r="F23" s="3"/>
      <x:c r="G23" s="3"/>
      <x:c r="H23" s="3"/>
      <x:c r="I23" s="3"/>
      <x:c r="J23" s="3"/>
    </x:row>
    <x:row r="24" ht="25" customHeight="1">
      <x:c r="A24" s="3"/>
      <x:c r="B24" s="19" t="n">
        <x:v>0.13</x:v>
      </x:c>
      <x:c r="C24" s="14"/>
      <x:c r="D24" s="3"/>
      <x:c r="E24" s="3"/>
      <x:c r="F24" s="3"/>
      <x:c r="G24" s="3"/>
      <x:c r="H24" s="3"/>
      <x:c r="I24" s="3"/>
      <x:c r="J24" s="3"/>
    </x:row>
    <x:row r="25" ht="25" customHeight="1">
      <x:c r="A25" s="3"/>
      <x:c r="B25" s="19" t="n">
        <x:v>0.135</x:v>
      </x:c>
      <x:c r="C25" s="14"/>
      <x:c r="D25" s="3"/>
      <x:c r="E25" s="3"/>
      <x:c r="F25" s="3"/>
      <x:c r="G25" s="3"/>
      <x:c r="H25" s="3"/>
      <x:c r="I25" s="3"/>
      <x:c r="J25" s="3"/>
    </x:row>
    <x:row r="26" ht="25" customHeight="1">
      <x:c r="A26" s="3"/>
      <x:c r="B26" s="19" t="n">
        <x:v>0.14</x:v>
      </x:c>
      <x:c r="C26" s="14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19" t="n">
        <x:v>0.14500000000000002</x:v>
      </x:c>
      <x:c r="C27" s="14"/>
      <x:c r="D27" s="3"/>
      <x:c r="E27" s="3"/>
      <x:c r="F27" s="3"/>
      <x:c r="G27" s="3"/>
      <x:c r="H27" s="3"/>
      <x:c r="I27" s="3"/>
      <x:c r="J27" s="3"/>
    </x:row>
    <x:row r="28" ht="25" customHeight="1">
      <x:c r="A28" s="3"/>
      <x:c r="B28" s="19" t="n">
        <x:v>0.15000000000000002</x:v>
      </x:c>
      <x:c r="C28" s="14"/>
      <x:c r="D28" s="3"/>
      <x:c r="E28" s="3"/>
      <x:c r="F28" s="3"/>
      <x:c r="G28" s="3"/>
      <x:c r="H28" s="3"/>
      <x:c r="I28" s="3"/>
      <x:c r="J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5" customHeight="1">
      <x:c r="A31" s="3"/>
      <x:c r="B31" s="6" t="str">
        <x:v>各資本コストに対応するNPVをNPV関数で求めます。B17:C28を選択し、散布図（直線とマーカー）を作成してください。</x:v>
      </x:c>
      <x:c r="C31" s="6"/>
      <x:c r="D31" s="6"/>
      <x:c r="E31" s="6"/>
      <x:c r="F31" s="6"/>
      <x:c r="G31" s="6"/>
      <x:c r="H31" s="6"/>
      <x:c r="I31" s="6"/>
      <x:c r="J31" s="3"/>
    </x:row>
    <x:row r="32" ht="25" customHeight="1">
      <x:c r="A32" s="3"/>
      <x:c r="B32" s="6"/>
      <x:c r="C32" s="6"/>
      <x:c r="D32" s="6"/>
      <x:c r="E32" s="6"/>
      <x:c r="F32" s="6"/>
      <x:c r="G32" s="6"/>
      <x:c r="H32" s="6"/>
      <x:c r="I32" s="6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6" t="str">
        <x:v>横軸は資本コスト、縦軸はNPVとし、グラフのタイトルを「NPVプロファイル」にします。グラフは表の右側に配置してください。</x:v>
      </x:c>
      <x:c r="C34" s="6"/>
      <x:c r="D34" s="6"/>
      <x:c r="E34" s="6"/>
      <x:c r="F34" s="6"/>
      <x:c r="G34" s="6"/>
      <x:c r="H34" s="6"/>
      <x:c r="I34" s="6"/>
      <x:c r="J34" s="3"/>
    </x:row>
    <x:row r="35" ht="25" customHeight="1">
      <x:c r="A35" s="3"/>
      <x:c r="B35" s="6"/>
      <x:c r="C35" s="6"/>
      <x:c r="D35" s="6"/>
      <x:c r="E35" s="6"/>
      <x:c r="F35" s="6"/>
      <x:c r="G35" s="6"/>
      <x:c r="H35" s="6"/>
      <x:c r="I35" s="6"/>
      <x:c r="J35" s="3"/>
    </x:row>
  </x:sheetData>
  <x:mergeCells>
    <x:mergeCell ref="B2:I2"/>
    <x:mergeCell ref="B4:I5"/>
    <x:mergeCell ref="B7:I7"/>
    <x:mergeCell ref="B31:I32"/>
    <x:mergeCell ref="B34:I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25" hidden="0" customWidth="1"/>
    <x:col min="7" max="7" width="1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練習3　内部収益率（IRR）</x:v>
      </x:c>
      <x:c r="C2" s="5"/>
      <x:c r="D2" s="5"/>
      <x:c r="E2" s="5"/>
      <x:c r="F2" s="5"/>
      <x:c r="G2" s="5"/>
      <x:c r="H2" s="5"/>
      <x:c r="I2" s="5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4" t="str">
        <x:v>現時点のCFが−100、1年後が30、2年後が90となる投資の内部収益率を計算しなさい。</x:v>
      </x:c>
      <x:c r="C4" s="4"/>
      <x:c r="D4" s="4"/>
      <x:c r="E4" s="4"/>
      <x:c r="F4" s="4"/>
      <x:c r="G4" s="4"/>
      <x:c r="H4" s="4"/>
      <x:c r="I4" s="4"/>
      <x:c r="J4" s="3"/>
    </x:row>
    <x:row r="5" ht="25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6" t="inlineStr">
        <x:is>
          <x:t>黄色のセルに数式を入力してください。青字の数値は問題の条件です。</x:t>
        </x:is>
      </x:c>
      <x:c r="C7" s="6"/>
      <x:c r="D7" s="6"/>
      <x:c r="E7" s="6"/>
      <x:c r="F7" s="6"/>
      <x:c r="G7" s="6"/>
      <x:c r="H7" s="6"/>
      <x:c r="I7" s="6"/>
      <x:c r="J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30" customHeight="1">
      <x:c r="A14" s="3"/>
      <x:c r="B14" s="11" t="str">
        <x:v>時点 t（年）</x:v>
      </x:c>
      <x:c r="C14" s="11" t="str">
        <x:v>CF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3"/>
      <x:c r="B15" s="7" t="n">
        <x:v>0</x:v>
      </x:c>
      <x:c r="C15" s="7" t="n">
        <x:v>-100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3"/>
      <x:c r="B16" s="7" t="n">
        <x:v>1</x:v>
      </x:c>
      <x:c r="C16" s="7" t="n">
        <x:v>30</x:v>
      </x:c>
      <x:c r="D16" s="3"/>
      <x:c r="E16" s="3"/>
      <x:c r="F16" s="3"/>
      <x:c r="G16" s="3"/>
      <x:c r="H16" s="3"/>
      <x:c r="I16" s="3"/>
      <x:c r="J16" s="3"/>
    </x:row>
    <x:row r="17" ht="25" customHeight="1">
      <x:c r="A17" s="3"/>
      <x:c r="B17" s="7" t="n">
        <x:v>2</x:v>
      </x:c>
      <x:c r="C17" s="7" t="n">
        <x:v>90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5" customHeight="1">
      <x:c r="A20" s="3"/>
      <x:c r="B20" s="3" t="str">
        <x:v>IRR</x:v>
      </x:c>
      <x:c r="C20" s="15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 t="str">
        <x:v>求めたIRRでのNPV</x:v>
      </x:c>
      <x:c r="C21" s="14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5" customHeight="1">
      <x:c r="A24" s="3"/>
      <x:c r="B24" s="6" t="str">
        <x:v>IRR関数では、第0期の初期投資も含めてCFを選択します。</x:v>
      </x:c>
      <x:c r="C24" s="6"/>
      <x:c r="D24" s="6"/>
      <x:c r="E24" s="6"/>
      <x:c r="F24" s="6"/>
      <x:c r="G24" s="6"/>
      <x:c r="H24" s="6"/>
      <x:c r="I24" s="6"/>
      <x:c r="J24" s="3"/>
    </x:row>
    <x:row r="25" ht="25" customHeight="1">
      <x:c r="A25" s="3"/>
      <x:c r="B25" s="6"/>
      <x:c r="C25" s="6"/>
      <x:c r="D25" s="6"/>
      <x:c r="E25" s="6"/>
      <x:c r="F25" s="6"/>
      <x:c r="G25" s="6"/>
      <x:c r="H25" s="6"/>
      <x:c r="I25" s="6"/>
      <x:c r="J25" s="3"/>
    </x:row>
    <x:row r="26" ht="25" customHeight="1">
      <x:c r="A26" s="3"/>
      <x:c r="B26" s="6" t="str">
        <x:v>C21がほぼ0になることを確認します。IRRは事業の収益率であり、資本コストではありません。</x:v>
      </x:c>
      <x:c r="C26" s="6"/>
      <x:c r="D26" s="6"/>
      <x:c r="E26" s="6"/>
      <x:c r="F26" s="6"/>
      <x:c r="G26" s="6"/>
      <x:c r="H26" s="6"/>
      <x:c r="I26" s="6"/>
      <x:c r="J26" s="3"/>
    </x:row>
    <x:row r="27" ht="25" customHeight="1">
      <x:c r="A27" s="3"/>
      <x:c r="B27" s="6"/>
      <x:c r="C27" s="6"/>
      <x:c r="D27" s="6"/>
      <x:c r="E27" s="6"/>
      <x:c r="F27" s="6"/>
      <x:c r="G27" s="6"/>
      <x:c r="H27" s="6"/>
      <x:c r="I27" s="6"/>
      <x:c r="J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</x:sheetData>
  <x:mergeCells>
    <x:mergeCell ref="B2:I2"/>
    <x:mergeCell ref="B4:I5"/>
    <x:mergeCell ref="B7:I7"/>
    <x:mergeCell ref="B24:I25"/>
    <x:mergeCell ref="B26:I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23F45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1" hidden="0" customWidth="1"/>
    <x:col min="4" max="4" width="23" hidden="0" customWidth="1"/>
    <x:col min="5" max="5" width="25" hidden="0" customWidth="1"/>
    <x:col min="6" max="6" width="25" hidden="0" customWidth="1"/>
    <x:col min="7" max="7" width="1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"/>
      <x:c r="B2" s="5" t="str">
        <x:v>練習4　事業E・Fの収益性指標（PI）</x:v>
      </x:c>
      <x:c r="C2" s="5"/>
      <x:c r="D2" s="5"/>
      <x:c r="E2" s="5"/>
      <x:c r="F2" s="5"/>
      <x:c r="G2" s="5"/>
      <x:c r="H2" s="5"/>
      <x:c r="I2" s="5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4" t="inlineStr">
        <x:is>
          <x:t>資本コストが10%であるとき、事業Eと事業FのPIを求めなさい。資本支出はEが1,000、Fが800である。</x:t>
        </x:is>
      </x:c>
      <x:c r="C4" s="4"/>
      <x:c r="D4" s="4"/>
      <x:c r="E4" s="4"/>
      <x:c r="F4" s="4"/>
      <x:c r="G4" s="4"/>
      <x:c r="H4" s="4"/>
      <x:c r="I4" s="4"/>
      <x:c r="J4" s="3"/>
    </x:row>
    <x:row r="5" ht="25" customHeight="1">
      <x:c r="A5" s="3"/>
      <x:c r="B5" s="4"/>
      <x:c r="C5" s="4"/>
      <x:c r="D5" s="4"/>
      <x:c r="E5" s="4"/>
      <x:c r="F5" s="4"/>
      <x:c r="G5" s="4"/>
      <x:c r="H5" s="4"/>
      <x:c r="I5" s="4"/>
      <x:c r="J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6" t="inlineStr">
        <x:is>
          <x:t>黄色のセルに数式を入力してください。青字の数値は問題の条件です。</x:t>
        </x:is>
      </x:c>
      <x:c r="C7" s="6"/>
      <x:c r="D7" s="6"/>
      <x:c r="E7" s="6"/>
      <x:c r="F7" s="6"/>
      <x:c r="G7" s="6"/>
      <x:c r="H7" s="6"/>
      <x:c r="I7" s="6"/>
      <x:c r="J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25" customHeight="1">
      <x:c r="A10" s="3"/>
      <x:c r="B10" s="3" t="str">
        <x:v>資本コスト r</x:v>
      </x:c>
      <x:c r="C10" s="16" t="n">
        <x:v>0.1</x:v>
      </x:c>
      <x:c r="D10" s="3"/>
      <x:c r="E10" s="3"/>
      <x:c r="F10" s="3"/>
      <x:c r="G10" s="3"/>
      <x:c r="H10" s="3"/>
      <x:c r="I10" s="3"/>
      <x:c r="J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30" customHeight="1">
      <x:c r="A14" s="3"/>
      <x:c r="B14" s="11" t="str">
        <x:v>時点 t（期）</x:v>
      </x:c>
      <x:c r="C14" s="11" t="str">
        <x:v>事業EのCF</x:v>
      </x:c>
      <x:c r="D14" s="11" t="str">
        <x:v>事業FのCF</x:v>
      </x:c>
      <x:c r="E14" s="11" t="str">
        <x:v>Eの現在価値</x:v>
      </x:c>
      <x:c r="F14" s="11" t="str">
        <x:v>Fの現在価値</x:v>
      </x:c>
      <x:c r="G14" s="3"/>
      <x:c r="H14" s="3"/>
      <x:c r="I14" s="3"/>
      <x:c r="J14" s="3"/>
    </x:row>
    <x:row r="15" ht="25" customHeight="1">
      <x:c r="A15" s="3"/>
      <x:c r="B15" s="7" t="n">
        <x:v>0</x:v>
      </x:c>
      <x:c r="C15" s="7" t="n">
        <x:v>-1000</x:v>
      </x:c>
      <x:c r="D15" s="7" t="n">
        <x:v>-800</x:v>
      </x:c>
      <x:c r="E15" s="14"/>
      <x:c r="F15" s="14"/>
      <x:c r="G15" s="3"/>
      <x:c r="H15" s="3"/>
      <x:c r="I15" s="3"/>
      <x:c r="J15" s="3"/>
    </x:row>
    <x:row r="16" ht="25" customHeight="1">
      <x:c r="A16" s="3"/>
      <x:c r="B16" s="7" t="n">
        <x:v>1</x:v>
      </x:c>
      <x:c r="C16" s="7" t="n">
        <x:v>500</x:v>
      </x:c>
      <x:c r="D16" s="7" t="n">
        <x:v>300</x:v>
      </x:c>
      <x:c r="E16" s="14"/>
      <x:c r="F16" s="14"/>
      <x:c r="G16" s="3"/>
      <x:c r="H16" s="3"/>
      <x:c r="I16" s="3"/>
      <x:c r="J16" s="3"/>
    </x:row>
    <x:row r="17" ht="25" customHeight="1">
      <x:c r="A17" s="3"/>
      <x:c r="B17" s="7" t="n">
        <x:v>2</x:v>
      </x:c>
      <x:c r="C17" s="7" t="n">
        <x:v>500</x:v>
      </x:c>
      <x:c r="D17" s="7" t="n">
        <x:v>300</x:v>
      </x:c>
      <x:c r="E17" s="14"/>
      <x:c r="F17" s="14"/>
      <x:c r="G17" s="3"/>
      <x:c r="H17" s="3"/>
      <x:c r="I17" s="3"/>
      <x:c r="J17" s="3"/>
    </x:row>
    <x:row r="18" ht="25" customHeight="1">
      <x:c r="A18" s="3"/>
      <x:c r="B18" s="7" t="n">
        <x:v>3</x:v>
      </x:c>
      <x:c r="C18" s="7" t="n">
        <x:v>100</x:v>
      </x:c>
      <x:c r="D18" s="7" t="n">
        <x:v>250</x:v>
      </x:c>
      <x:c r="E18" s="14"/>
      <x:c r="F18" s="14"/>
      <x:c r="G18" s="3"/>
      <x:c r="H18" s="3"/>
      <x:c r="I18" s="3"/>
      <x:c r="J18" s="3"/>
    </x:row>
    <x:row r="19" ht="25" customHeight="1">
      <x:c r="A19" s="3"/>
      <x:c r="B19" s="7" t="n">
        <x:v>4</x:v>
      </x:c>
      <x:c r="C19" s="7" t="n">
        <x:v>100</x:v>
      </x:c>
      <x:c r="D19" s="7" t="n">
        <x:v>150</x:v>
      </x:c>
      <x:c r="E19" s="14"/>
      <x:c r="F19" s="14"/>
      <x:c r="G19" s="3"/>
      <x:c r="H19" s="3"/>
      <x:c r="I19" s="3"/>
      <x:c r="J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30" customHeight="1">
      <x:c r="A22" s="3"/>
      <x:c r="B22" s="11" t="str">
        <x:v>計算結果</x:v>
      </x:c>
      <x:c r="C22" s="11" t="str">
        <x:v>事業E</x:v>
      </x:c>
      <x:c r="D22" s="11" t="str">
        <x:v>事業F</x:v>
      </x:c>
      <x:c r="E22" s="3"/>
      <x:c r="F22" s="3"/>
      <x:c r="G22" s="3"/>
      <x:c r="H22" s="3"/>
      <x:c r="I22" s="3"/>
      <x:c r="J22" s="3"/>
    </x:row>
    <x:row r="23" ht="25" customHeight="1">
      <x:c r="A23" s="3"/>
      <x:c r="B23" s="3" t="str">
        <x:v>NPV</x:v>
      </x:c>
      <x:c r="C23" s="14"/>
      <x:c r="D23" s="14"/>
      <x:c r="E23" s="3"/>
      <x:c r="F23" s="3"/>
      <x:c r="G23" s="3"/>
      <x:c r="H23" s="3"/>
      <x:c r="I23" s="3"/>
      <x:c r="J23" s="3"/>
    </x:row>
    <x:row r="24" ht="25" customHeight="1">
      <x:c r="A24" s="3"/>
      <x:c r="B24" s="3" t="str">
        <x:v>PI</x:v>
      </x:c>
      <x:c r="C24" s="14"/>
      <x:c r="D24" s="14"/>
      <x:c r="E24" s="3"/>
      <x:c r="F24" s="3"/>
      <x:c r="G24" s="3"/>
      <x:c r="H24" s="3"/>
      <x:c r="I24" s="3"/>
      <x:c r="J24" s="3"/>
    </x:row>
    <x:row r="25" ht="25" customHeight="1">
      <x:c r="A25" s="3"/>
      <x:c r="E25" s="3"/>
      <x:c r="F25" s="3"/>
      <x:c r="G25" s="3"/>
      <x:c r="H25" s="3"/>
      <x:c r="I25" s="3"/>
      <x:c r="J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5" customHeight="1">
      <x:c r="A28" s="3"/>
      <x:c r="B28" s="6" t="str">
        <x:v>本回のPIは NPV/I です。初期投資額Iは正の金額なので、分母には −CF₀ を用います。</x:v>
      </x:c>
      <x:c r="C28" s="6"/>
      <x:c r="D28" s="6"/>
      <x:c r="E28" s="6"/>
      <x:c r="F28" s="6"/>
      <x:c r="G28" s="6"/>
      <x:c r="H28" s="6"/>
      <x:c r="I28" s="6"/>
      <x:c r="J28" s="3"/>
    </x:row>
    <x:row r="29" ht="25" customHeight="1">
      <x:c r="A29" s="3"/>
      <x:c r="B29" s="6"/>
      <x:c r="C29" s="6"/>
      <x:c r="D29" s="6"/>
      <x:c r="E29" s="6"/>
      <x:c r="F29" s="6"/>
      <x:c r="G29" s="6"/>
      <x:c r="H29" s="6"/>
      <x:c r="I29" s="6"/>
      <x:c r="J29" s="3"/>
    </x:row>
    <x:row r="30" ht="25" customHeight="1">
      <x:c r="A30" s="3"/>
      <x:c r="B30" s="6" t="str">
        <x:v>どちらのPIが高いかを比較します。PIは比率として表示します。</x:v>
      </x:c>
      <x:c r="C30" s="6"/>
      <x:c r="D30" s="6"/>
      <x:c r="E30" s="6"/>
      <x:c r="F30" s="6"/>
      <x:c r="G30" s="6"/>
      <x:c r="H30" s="6"/>
      <x:c r="I30" s="6"/>
      <x:c r="J30" s="3"/>
    </x:row>
    <x:row r="31" ht="25" customHeight="1">
      <x:c r="A31" s="3"/>
      <x:c r="B31" s="6"/>
      <x:c r="C31" s="6"/>
      <x:c r="D31" s="6"/>
      <x:c r="E31" s="6"/>
      <x:c r="F31" s="6"/>
      <x:c r="G31" s="6"/>
      <x:c r="H31" s="6"/>
      <x:c r="I31" s="6"/>
      <x:c r="J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</x:sheetData>
  <x:mergeCells>
    <x:mergeCell ref="B2:I2"/>
    <x:mergeCell ref="B4:I5"/>
    <x:mergeCell ref="B7:I7"/>
    <x:mergeCell ref="B28:I29"/>
    <x:mergeCell ref="B30:I31"/>
  </x:mergeCells>
  <x:pageMargins left="0.7" right="0.7" top="0.75" bottom="0.75" header="0.3" footer="0.3"/>
</x:worksheet>
</file>