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hexie/Library/Mobile Documents/com~apple~CloudDocs/授業相関/授業相関/教案/ファイナンス入門/2026/outputs/finance-excel-01/"/>
    </mc:Choice>
  </mc:AlternateContent>
  <xr:revisionPtr revIDLastSave="0" documentId="13_ncr:20001_{C34B1584-C9F4-294A-9E55-FFE12977705F}" xr6:coauthVersionLast="47" xr6:coauthVersionMax="47" xr10:uidLastSave="{00000000-0000-0000-0000-000000000000}"/>
  <bookViews>
    <workbookView xWindow="0" yWindow="660" windowWidth="30240" windowHeight="18060" xr2:uid="{00000000-000D-0000-FFFF-FFFF00000000}"/>
  </bookViews>
  <sheets>
    <sheet name="1. 数式の入力" sheetId="1" r:id="rId1"/>
    <sheet name="2. 関数の入力" sheetId="2" r:id="rId2"/>
    <sheet name="3. 相対参照と絶対参照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3" l="1"/>
  <c r="B43" i="3"/>
  <c r="C41" i="3"/>
  <c r="D41" i="3"/>
  <c r="B41" i="3"/>
  <c r="E25" i="1"/>
  <c r="B25" i="1"/>
</calcChain>
</file>

<file path=xl/sharedStrings.xml><?xml version="1.0" encoding="utf-8"?>
<sst xmlns="http://schemas.openxmlformats.org/spreadsheetml/2006/main" count="213" uniqueCount="179">
  <si>
    <t>1. 数式の入力</t>
  </si>
  <si>
    <t>セルは列と行で表します。例：B2はB列・2行目のセルです。数式は半角の = から入力します。</t>
  </si>
  <si>
    <t>入力後にEnterキーを押すと結果が表示されます。セルを選ぶと数式バーで数式を確認できます。</t>
  </si>
  <si>
    <t>計算</t>
  </si>
  <si>
    <t>Excelへの入力</t>
  </si>
  <si>
    <t>結果</t>
  </si>
  <si>
    <t>足し算</t>
  </si>
  <si>
    <t>=100+20</t>
  </si>
  <si>
    <t>引き算</t>
  </si>
  <si>
    <t>=100-20</t>
  </si>
  <si>
    <t>掛け算</t>
  </si>
  <si>
    <t>=100*2</t>
  </si>
  <si>
    <t>割り算</t>
  </si>
  <si>
    <t>=100/2</t>
  </si>
  <si>
    <t>平方：5²</t>
  </si>
  <si>
    <t>=5^2</t>
  </si>
  <si>
    <t>累乗：2³</t>
  </si>
  <si>
    <t>=2^3</t>
  </si>
  <si>
    <t>平方根：√25</t>
  </si>
  <si>
    <t>=SQRT(25)</t>
  </si>
  <si>
    <t>立方根：∛8</t>
  </si>
  <si>
    <t>=8^(1/3)</t>
  </si>
  <si>
    <t>正の4乗根：⁴√16</t>
  </si>
  <si>
    <t>=16^(1/4)</t>
  </si>
  <si>
    <t>常用対数：log₁₀(1000)</t>
  </si>
  <si>
    <t>=LOG(1000,10)</t>
  </si>
  <si>
    <t>底が2の対数：log₂(8)</t>
  </si>
  <si>
    <t>=LOG(8,2)</t>
  </si>
  <si>
    <t>自然対数：ln(2)</t>
  </si>
  <si>
    <t>=LN(2)</t>
  </si>
  <si>
    <t>指数関数：e²</t>
  </si>
  <si>
    <t>=EXP(2)</t>
  </si>
  <si>
    <t>=100+20*3</t>
  </si>
  <si>
    <t>=(100+20)*3</t>
  </si>
  <si>
    <t>LOG(数値,底)の底を省略すると10になります。SQRT・LOG・LN・EXPも数式の中に入力します。</t>
  </si>
  <si>
    <t>項目</t>
  </si>
  <si>
    <t>金額（円）</t>
  </si>
  <si>
    <t>収入</t>
  </si>
  <si>
    <t>支出</t>
  </si>
  <si>
    <t>残額</t>
  </si>
  <si>
    <t>B33には =B31-B32 を入力しています。B32を7000に変更し、残額の変化を確認してください。</t>
  </si>
  <si>
    <t>金額は「10000円」ではなく数値の10000を入力し、単位は見出しに書きます。</t>
  </si>
  <si>
    <t>練習1：数式をExcelに入力する</t>
  </si>
  <si>
    <t>次の数式をExcelの数式に直し、各行のF列に入力して値を求めてください。</t>
  </si>
  <si>
    <t>1.　((120＋80)×3−150)÷5＋2⁴</t>
  </si>
  <si>
    <t>2.　(√144＋3²)÷√25</t>
  </si>
  <si>
    <t>3.　10000×(1＋0.06÷12)²⁴</t>
  </si>
  <si>
    <t>4.　(∛125＋⁴√81)÷(2³−4)</t>
  </si>
  <si>
    <t>2. 関数の入力</t>
  </si>
  <si>
    <t>日</t>
  </si>
  <si>
    <t>支出（円）</t>
  </si>
  <si>
    <t>月曜日</t>
  </si>
  <si>
    <t>火曜日</t>
  </si>
  <si>
    <t>水曜日</t>
  </si>
  <si>
    <t>木曜日</t>
  </si>
  <si>
    <t>金曜日</t>
  </si>
  <si>
    <t>関数</t>
  </si>
  <si>
    <t>用途</t>
  </si>
  <si>
    <t>入力例</t>
  </si>
  <si>
    <t>SUM</t>
  </si>
  <si>
    <t>合計</t>
  </si>
  <si>
    <t>AVERAGE</t>
  </si>
  <si>
    <t>平均</t>
  </si>
  <si>
    <t>MAX</t>
  </si>
  <si>
    <t>最大値</t>
  </si>
  <si>
    <t>MIN</t>
  </si>
  <si>
    <t>最小値</t>
  </si>
  <si>
    <t>COUNT</t>
  </si>
  <si>
    <t>数値の個数</t>
  </si>
  <si>
    <t>COUNTは文字や空白を数えません。AVERAGEは空白を除きますが、数値の0は平均に含めます。</t>
  </si>
  <si>
    <t>計算対象の範囲に、数式を入力するセル自身を含めないようにしてください。</t>
  </si>
  <si>
    <t>練習2：関数を使って支出を集計する</t>
  </si>
  <si>
    <t>B32:B36を対象に、黄色のB39:B43へ関数を入力してください。</t>
  </si>
  <si>
    <t>月</t>
  </si>
  <si>
    <t>4月</t>
  </si>
  <si>
    <t>5月</t>
  </si>
  <si>
    <t>6月</t>
  </si>
  <si>
    <t>7月</t>
  </si>
  <si>
    <t>8月</t>
  </si>
  <si>
    <t>入力欄</t>
  </si>
  <si>
    <t>使う関数</t>
  </si>
  <si>
    <t>データ数</t>
  </si>
  <si>
    <t>B10のような参照を相対参照といいます。コピーすると、移動した行数・列数に応じて参照先が変わります。</t>
  </si>
  <si>
    <t>D10の数式を1行下へコピーすると、=B10*C10 は =B11*C11 に変わります。</t>
  </si>
  <si>
    <t>商品</t>
  </si>
  <si>
    <t>単価（円）</t>
  </si>
  <si>
    <t>数量</t>
  </si>
  <si>
    <t>数式</t>
  </si>
  <si>
    <t>鉛筆</t>
  </si>
  <si>
    <t>=B10*C10</t>
  </si>
  <si>
    <t>消しゴム</t>
  </si>
  <si>
    <t>=B11*C11</t>
  </si>
  <si>
    <t>定規</t>
  </si>
  <si>
    <t>=B12*C12</t>
  </si>
  <si>
    <t>セル右下の小さな四角（フィルハンドル）を下へドラッグすると、数式をコピーできます。</t>
  </si>
  <si>
    <t>$B$19のように列と行の前に $ を付けると、コピーしても参照先のセルは変わりません。</t>
  </si>
  <si>
    <t>年利率</t>
  </si>
  <si>
    <t>預金</t>
  </si>
  <si>
    <t>元本（円）</t>
  </si>
  <si>
    <t>利息（円）</t>
  </si>
  <si>
    <t>例A</t>
  </si>
  <si>
    <t>=B22*$B$19</t>
  </si>
  <si>
    <t>例B</t>
  </si>
  <si>
    <t>=B23*$B$19</t>
  </si>
  <si>
    <t>例C</t>
  </si>
  <si>
    <t>=B24*$B$19</t>
  </si>
  <si>
    <t>C22を下へコピーすると、元本の参照先は変わりますが、年利率はB19に固定されます。</t>
  </si>
  <si>
    <t>固定するのはセルの場所です。B19の年利率を変えると、すべての利息が更新されます。</t>
  </si>
  <si>
    <t>練習3：相対参照で数式をコピーする</t>
  </si>
  <si>
    <t>ノート</t>
  </si>
  <si>
    <t>ペン</t>
  </si>
  <si>
    <t>ファイル</t>
  </si>
  <si>
    <t>元利合計（円）</t>
  </si>
  <si>
    <t>A</t>
  </si>
  <si>
    <t>B</t>
  </si>
  <si>
    <t>C</t>
  </si>
  <si>
    <t>セルの値を使って計算する</t>
    <phoneticPr fontId="6" type="noConversion"/>
  </si>
  <si>
    <t>数式の入力方法</t>
    <phoneticPr fontId="6" type="noConversion"/>
  </si>
  <si>
    <t>関数の書き方とセル範囲</t>
    <phoneticPr fontId="6" type="noConversion"/>
  </si>
  <si>
    <t>計算の順序は括弧 () で指定します。</t>
    <phoneticPr fontId="6" type="noConversion"/>
  </si>
  <si>
    <t>計算</t>
    <phoneticPr fontId="6" type="noConversion"/>
  </si>
  <si>
    <t>=SUM(B9:B13)</t>
  </si>
  <si>
    <t>=AVERAGE(B9:B13)</t>
  </si>
  <si>
    <t>=MAX(B9:B13)</t>
  </si>
  <si>
    <t>=MIN(B9:B13)</t>
  </si>
  <si>
    <t>=COUNT(B9:B13)</t>
  </si>
  <si>
    <t>ファイナンス入門演習　第1回｜黄色の空欄に数式を入力してください。</t>
  </si>
  <si>
    <t>3. 相対参照・絶対参照・複合参照</t>
  </si>
  <si>
    <t>$ を列の文字の前に付けると列を、行番号の前に付けると行を固定します。</t>
  </si>
  <si>
    <t>参照の種類</t>
  </si>
  <si>
    <t>書き方</t>
  </si>
  <si>
    <t>1列右へコピー</t>
  </si>
  <si>
    <t>1行下へコピー</t>
  </si>
  <si>
    <t>相対参照</t>
  </si>
  <si>
    <t>B2</t>
  </si>
  <si>
    <t>C2</t>
  </si>
  <si>
    <t>B3</t>
  </si>
  <si>
    <t>絶対参照</t>
  </si>
  <si>
    <t>$B$2</t>
  </si>
  <si>
    <t>複合参照：列を固定</t>
  </si>
  <si>
    <t>$B2</t>
  </si>
  <si>
    <t>$B3</t>
  </si>
  <si>
    <t>複合参照：行を固定</t>
  </si>
  <si>
    <t>B$2</t>
  </si>
  <si>
    <t>C$2</t>
  </si>
  <si>
    <t>元本をA列、年利率を40行目に置き、各組合せの1年間の利息を計算します。</t>
  </si>
  <si>
    <t>元本（円）／年利率</t>
  </si>
  <si>
    <t>B41には =$A41*B$40 を入力しています。右・下へコピーしても、元本はA列、年利率は40行目を参照します。</t>
  </si>
  <si>
    <t>$A41：A列だけを固定。右へコピーしてもA列のまま、下へコピーすると行番号が変わります。</t>
  </si>
  <si>
    <t>B$40：40行目だけを固定。下へコピーしても40行目のまま、右へコピーすると列が変わります。</t>
  </si>
  <si>
    <t>コピー先</t>
  </si>
  <si>
    <t>C41（右）</t>
  </si>
  <si>
    <t>=$A41*C$40</t>
  </si>
  <si>
    <t>B42（下）</t>
  </si>
  <si>
    <t>=$A42*B$40</t>
  </si>
  <si>
    <t>C42（右下）</t>
  </si>
  <si>
    <t>=$A42*C$40</t>
  </si>
  <si>
    <t>1. D58に、B58とC58を掛ける数式を入力してください。</t>
  </si>
  <si>
    <t>2. D58の数式をD59、D60へコピーし、数式バーで参照先の変化を確認してください。</t>
  </si>
  <si>
    <t>3. C58の数量を4に変更し、金額が更新されることを確認してください。</t>
  </si>
  <si>
    <t>1. C73に利息の数式を入力してください。元本は相対参照、年利率は絶対参照を使います。</t>
  </si>
  <si>
    <t>2. C73をC74、C75へコピーしてください。</t>
  </si>
  <si>
    <t>3. D73には元本と利息を足す数式を入力し、D74、D75へコピーしてください。</t>
  </si>
  <si>
    <t>4. B70を3%に変更し、すべての行の結果が更新されることを確認してください。</t>
  </si>
  <si>
    <t>5. B73の元本を15000に変更し、利息と元利合計が更新されることを確認してください。</t>
  </si>
  <si>
    <t>店舗Aの単価（円）</t>
  </si>
  <si>
    <t>店舗Bの単価（円）</t>
  </si>
  <si>
    <t>店舗Aの金額（円）</t>
  </si>
  <si>
    <t>店舗Bの金額（円）</t>
  </si>
  <si>
    <t>1. E93に「数量 × 店舗Aの単価」の数式を入力してください。数量はB列だけを固定し、単価は相対参照を使います。</t>
  </si>
  <si>
    <t>2. E93をF93へコピーした後、E93:F93を95行目までコピーしてください。</t>
  </si>
  <si>
    <t>3. F95を選び、数式バーで数量と単価の参照先を確認してください。</t>
  </si>
  <si>
    <t>1. B106に1年間の利息の数式を入力してください。元本はA列だけ、年利率は105行目だけを固定します。</t>
  </si>
  <si>
    <t>2. D108を選び、数式バーで元本と年利率の参照先を確認してください。</t>
  </si>
  <si>
    <t>3. C105の年利率を4%に変更し、C106:C108の利息が更新されることを確認してください。</t>
  </si>
  <si>
    <t>相対参照</t>
    <phoneticPr fontId="6" type="noConversion"/>
  </si>
  <si>
    <t>絶対参照</t>
    <phoneticPr fontId="6" type="noConversion"/>
  </si>
  <si>
    <t>数式を右と下へコピーしてB106:D108を完成させてください。</t>
    <phoneticPr fontId="6" type="noConversion"/>
  </si>
  <si>
    <t>複合参照（列だけ・行だけを固定）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</si>
</sst>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"/>
    <numFmt numFmtId="177" formatCode="0.0%"/>
  </numFmts>
  <fonts count="7">
    <font>
      <sz val="11"/>
      <name val="Carlito"/>
    </font>
    <font>
      <sz val="11"/>
      <color rgb="FF263746"/>
      <name val="Yu Gothic"/>
      <charset val="128"/>
    </font>
    <font>
      <b/>
      <sz val="16"/>
      <color rgb="FF213F54"/>
      <name val="Yu Gothic"/>
      <charset val="128"/>
    </font>
    <font>
      <b/>
      <sz val="11"/>
      <color rgb="FF237C75"/>
      <name val="Yu Gothic"/>
      <charset val="128"/>
    </font>
    <font>
      <b/>
      <sz val="11"/>
      <color rgb="FFFFFFFF"/>
      <name val="Yu Gothic"/>
      <charset val="128"/>
    </font>
    <font>
      <sz val="11"/>
      <name val="Carlito"/>
    </font>
    <font>
      <sz val="9"/>
      <name val="FangSong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E8F2EF"/>
      </patternFill>
    </fill>
    <fill>
      <patternFill patternType="solid">
        <fgColor rgb="FF213F54"/>
      </patternFill>
    </fill>
    <fill>
      <patternFill patternType="solid">
        <fgColor rgb="FFFFF3CC"/>
      </patternFill>
    </fill>
    <fill>
      <patternFill patternType="solid">
        <fgColor rgb="FFE8F2EF"/>
      </patternFill>
    </fill>
    <fill>
      <patternFill patternType="solid">
        <fgColor rgb="FF213F54"/>
      </patternFill>
    </fill>
    <fill>
      <patternFill patternType="solid">
        <fgColor rgb="FFFFF3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1" fillId="0" borderId="0" xfId="1" applyFont="1" applyAlignment="1">
      <alignment vertical="center" wrapText="1"/>
    </xf>
    <xf numFmtId="0" fontId="4" fillId="3" borderId="0" xfId="1" applyFont="1" applyFill="1" applyAlignment="1">
      <alignment horizontal="center" vertical="center" wrapText="1"/>
    </xf>
    <xf numFmtId="3" fontId="1" fillId="0" borderId="0" xfId="1" applyNumberFormat="1" applyFont="1" applyAlignment="1">
      <alignment vertical="center" wrapText="1"/>
    </xf>
    <xf numFmtId="0" fontId="1" fillId="4" borderId="0" xfId="1" applyFont="1" applyFill="1" applyAlignment="1">
      <alignment vertical="center" wrapText="1"/>
    </xf>
    <xf numFmtId="176" fontId="1" fillId="0" borderId="0" xfId="1" applyNumberFormat="1" applyFont="1" applyAlignment="1">
      <alignment vertical="center" wrapText="1"/>
    </xf>
    <xf numFmtId="3" fontId="1" fillId="4" borderId="0" xfId="1" applyNumberFormat="1" applyFont="1" applyFill="1" applyAlignment="1">
      <alignment vertical="center" wrapText="1"/>
    </xf>
    <xf numFmtId="49" fontId="1" fillId="0" borderId="0" xfId="1" quotePrefix="1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6" borderId="0" xfId="0" applyFont="1" applyFill="1" applyAlignment="1">
      <alignment horizontal="center" vertical="center" wrapText="1"/>
    </xf>
    <xf numFmtId="3" fontId="1" fillId="0" borderId="0" xfId="0" applyNumberFormat="1" applyFont="1" applyAlignment="1">
      <alignment vertical="center" wrapText="1"/>
    </xf>
    <xf numFmtId="9" fontId="1" fillId="0" borderId="0" xfId="0" applyNumberFormat="1" applyFont="1" applyAlignment="1">
      <alignment vertical="center" wrapText="1"/>
    </xf>
    <xf numFmtId="9" fontId="4" fillId="6" borderId="0" xfId="0" applyNumberFormat="1" applyFont="1" applyFill="1" applyAlignment="1">
      <alignment horizontal="center" vertical="center" wrapText="1"/>
    </xf>
    <xf numFmtId="177" fontId="4" fillId="6" borderId="0" xfId="0" applyNumberFormat="1" applyFont="1" applyFill="1" applyAlignment="1">
      <alignment horizontal="center" vertical="center" wrapText="1"/>
    </xf>
    <xf numFmtId="3" fontId="1" fillId="7" borderId="0" xfId="0" applyNumberFormat="1" applyFont="1" applyFill="1" applyAlignment="1">
      <alignment vertical="center" wrapText="1"/>
    </xf>
    <xf numFmtId="0" fontId="2" fillId="0" borderId="0" xfId="1" applyFont="1" applyAlignment="1">
      <alignment vertical="center" wrapText="1"/>
    </xf>
    <xf numFmtId="0" fontId="1" fillId="0" borderId="0" xfId="1" applyFont="1" applyAlignment="1">
      <alignment vertical="center" wrapText="1"/>
    </xf>
    <xf numFmtId="0" fontId="3" fillId="2" borderId="0" xfId="1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/>
    <xf numFmtId="0" fontId="3" fillId="5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7C75"/>
  </sheetPr>
  <dimension ref="A1:F48"/>
  <sheetViews>
    <sheetView tabSelected="1" zoomScale="142" workbookViewId="0">
      <pane ySplit="3" topLeftCell="A4" activePane="bottomLeft" state="frozen"/>
      <selection pane="bottomLeft" activeCell="C11" sqref="C11"/>
    </sheetView>
  </sheetViews>
  <sheetFormatPr baseColWidth="10" defaultColWidth="8.83203125" defaultRowHeight="14"/>
  <cols>
    <col min="1" max="1" width="25" customWidth="1"/>
    <col min="2" max="2" width="23" customWidth="1"/>
    <col min="3" max="3" width="22" customWidth="1"/>
    <col min="4" max="4" width="23" customWidth="1"/>
    <col min="5" max="5" width="21" customWidth="1"/>
    <col min="6" max="6" width="18" customWidth="1"/>
  </cols>
  <sheetData>
    <row r="1" spans="1:6" ht="26" customHeight="1">
      <c r="A1" s="1"/>
      <c r="B1" s="1"/>
      <c r="C1" s="1"/>
      <c r="D1" s="1"/>
      <c r="E1" s="1"/>
      <c r="F1" s="1"/>
    </row>
    <row r="2" spans="1:6" ht="34" customHeight="1">
      <c r="A2" s="15" t="s">
        <v>0</v>
      </c>
      <c r="B2" s="15"/>
      <c r="C2" s="15"/>
      <c r="D2" s="15"/>
      <c r="E2" s="15"/>
      <c r="F2" s="15"/>
    </row>
    <row r="3" spans="1:6" ht="30" customHeight="1">
      <c r="A3" s="16" t="s">
        <v>126</v>
      </c>
      <c r="B3" s="16"/>
      <c r="C3" s="16"/>
      <c r="D3" s="16"/>
      <c r="E3" s="16"/>
      <c r="F3" s="16"/>
    </row>
    <row r="4" spans="1:6" ht="26" customHeight="1">
      <c r="A4" s="1"/>
      <c r="B4" s="1"/>
      <c r="C4" s="1"/>
      <c r="D4" s="1"/>
      <c r="E4" s="1"/>
      <c r="F4" s="1"/>
    </row>
    <row r="5" spans="1:6" ht="30" customHeight="1">
      <c r="A5" s="17" t="s">
        <v>117</v>
      </c>
      <c r="B5" s="17"/>
      <c r="C5" s="17"/>
      <c r="D5" s="17"/>
      <c r="E5" s="17"/>
      <c r="F5" s="17"/>
    </row>
    <row r="6" spans="1:6" ht="30" customHeight="1">
      <c r="A6" s="16" t="s">
        <v>1</v>
      </c>
      <c r="B6" s="16"/>
      <c r="C6" s="16"/>
      <c r="D6" s="16"/>
      <c r="E6" s="16"/>
      <c r="F6" s="16"/>
    </row>
    <row r="7" spans="1:6" ht="30" customHeight="1">
      <c r="A7" s="16" t="s">
        <v>2</v>
      </c>
      <c r="B7" s="16"/>
      <c r="C7" s="16"/>
      <c r="D7" s="16"/>
      <c r="E7" s="16"/>
      <c r="F7" s="16"/>
    </row>
    <row r="8" spans="1:6" ht="26" customHeight="1">
      <c r="A8" s="1"/>
      <c r="B8" s="1"/>
      <c r="C8" s="1"/>
      <c r="D8" s="1"/>
      <c r="E8" s="1"/>
      <c r="F8" s="1"/>
    </row>
    <row r="9" spans="1:6" ht="26" customHeight="1">
      <c r="A9" s="2" t="s">
        <v>3</v>
      </c>
      <c r="B9" s="2" t="s">
        <v>4</v>
      </c>
      <c r="C9" s="2" t="s">
        <v>5</v>
      </c>
      <c r="D9" s="1"/>
      <c r="E9" s="1"/>
      <c r="F9" s="1"/>
    </row>
    <row r="10" spans="1:6" ht="26" customHeight="1">
      <c r="A10" s="1" t="s">
        <v>6</v>
      </c>
      <c r="B10" s="1" t="s">
        <v>7</v>
      </c>
      <c r="C10" s="3"/>
      <c r="D10" s="1"/>
      <c r="E10" s="1"/>
      <c r="F10" s="1"/>
    </row>
    <row r="11" spans="1:6" ht="26" customHeight="1">
      <c r="A11" s="1" t="s">
        <v>8</v>
      </c>
      <c r="B11" s="1" t="s">
        <v>9</v>
      </c>
      <c r="C11" s="3"/>
      <c r="D11" s="1"/>
      <c r="E11" s="1"/>
      <c r="F11" s="1"/>
    </row>
    <row r="12" spans="1:6" ht="26" customHeight="1">
      <c r="A12" s="1" t="s">
        <v>10</v>
      </c>
      <c r="B12" s="1" t="s">
        <v>11</v>
      </c>
      <c r="C12" s="3"/>
      <c r="D12" s="1"/>
      <c r="E12" s="1"/>
      <c r="F12" s="1"/>
    </row>
    <row r="13" spans="1:6" ht="26" customHeight="1">
      <c r="A13" s="1" t="s">
        <v>12</v>
      </c>
      <c r="B13" s="1" t="s">
        <v>13</v>
      </c>
      <c r="C13" s="3"/>
      <c r="D13" s="1"/>
      <c r="E13" s="1"/>
      <c r="F13" s="1"/>
    </row>
    <row r="14" spans="1:6" ht="26" customHeight="1">
      <c r="A14" s="1" t="s">
        <v>14</v>
      </c>
      <c r="B14" s="1" t="s">
        <v>15</v>
      </c>
      <c r="C14" s="3"/>
      <c r="D14" s="1"/>
      <c r="E14" s="1"/>
      <c r="F14" s="1"/>
    </row>
    <row r="15" spans="1:6" ht="26" customHeight="1">
      <c r="A15" s="1" t="s">
        <v>16</v>
      </c>
      <c r="B15" s="1" t="s">
        <v>17</v>
      </c>
      <c r="C15" s="3"/>
      <c r="D15" s="1"/>
      <c r="E15" s="1"/>
      <c r="F15" s="1"/>
    </row>
    <row r="16" spans="1:6" ht="26" customHeight="1">
      <c r="A16" s="1" t="s">
        <v>18</v>
      </c>
      <c r="B16" s="1" t="s">
        <v>19</v>
      </c>
      <c r="C16" s="3"/>
      <c r="D16" s="1"/>
      <c r="E16" s="1"/>
      <c r="F16" s="1"/>
    </row>
    <row r="17" spans="1:6" ht="26" customHeight="1">
      <c r="A17" s="1" t="s">
        <v>20</v>
      </c>
      <c r="B17" s="1" t="s">
        <v>21</v>
      </c>
      <c r="C17" s="3"/>
      <c r="D17" s="1"/>
      <c r="E17" s="1"/>
      <c r="F17" s="1"/>
    </row>
    <row r="18" spans="1:6" ht="26" customHeight="1">
      <c r="A18" s="1" t="s">
        <v>22</v>
      </c>
      <c r="B18" s="1" t="s">
        <v>23</v>
      </c>
      <c r="C18" s="3"/>
      <c r="D18" s="1"/>
      <c r="E18" s="1"/>
      <c r="F18" s="1"/>
    </row>
    <row r="19" spans="1:6" ht="26" customHeight="1">
      <c r="A19" s="1" t="s">
        <v>24</v>
      </c>
      <c r="B19" s="1" t="s">
        <v>25</v>
      </c>
      <c r="C19" s="3"/>
      <c r="D19" s="1"/>
      <c r="E19" s="1"/>
      <c r="F19" s="1"/>
    </row>
    <row r="20" spans="1:6" ht="26" customHeight="1">
      <c r="A20" s="1" t="s">
        <v>26</v>
      </c>
      <c r="B20" s="1" t="s">
        <v>27</v>
      </c>
      <c r="C20" s="3"/>
      <c r="D20" s="1"/>
      <c r="E20" s="1"/>
      <c r="F20" s="1"/>
    </row>
    <row r="21" spans="1:6" ht="26" customHeight="1">
      <c r="A21" s="1" t="s">
        <v>28</v>
      </c>
      <c r="B21" s="1" t="s">
        <v>29</v>
      </c>
      <c r="C21" s="5"/>
      <c r="D21" s="1"/>
      <c r="E21" s="1"/>
      <c r="F21" s="1"/>
    </row>
    <row r="22" spans="1:6" ht="26" customHeight="1">
      <c r="A22" s="1" t="s">
        <v>30</v>
      </c>
      <c r="B22" s="1" t="s">
        <v>31</v>
      </c>
      <c r="C22" s="5"/>
      <c r="D22" s="1"/>
      <c r="E22" s="1"/>
      <c r="F22" s="1"/>
    </row>
    <row r="23" spans="1:6" ht="26" customHeight="1">
      <c r="A23" s="1"/>
      <c r="B23" s="1"/>
      <c r="C23" s="1"/>
      <c r="D23" s="1"/>
      <c r="E23" s="1"/>
      <c r="F23" s="1"/>
    </row>
    <row r="24" spans="1:6" ht="30" customHeight="1">
      <c r="A24" s="16" t="s">
        <v>119</v>
      </c>
      <c r="B24" s="16"/>
      <c r="C24" s="16"/>
      <c r="D24" s="16"/>
      <c r="E24" s="16"/>
      <c r="F24" s="16"/>
    </row>
    <row r="25" spans="1:6" ht="26" customHeight="1">
      <c r="A25" s="1" t="s">
        <v>32</v>
      </c>
      <c r="B25" s="3">
        <f>100+20*3</f>
        <v>160</v>
      </c>
      <c r="C25" s="1"/>
      <c r="D25" s="1" t="s">
        <v>33</v>
      </c>
      <c r="E25" s="3">
        <f>(100+20)*3</f>
        <v>360</v>
      </c>
      <c r="F25" s="1"/>
    </row>
    <row r="26" spans="1:6" ht="30" customHeight="1">
      <c r="A26" s="16" t="s">
        <v>34</v>
      </c>
      <c r="B26" s="16"/>
      <c r="C26" s="16"/>
      <c r="D26" s="16"/>
      <c r="E26" s="16"/>
      <c r="F26" s="16"/>
    </row>
    <row r="27" spans="1:6" ht="26" customHeight="1">
      <c r="A27" s="1"/>
      <c r="B27" s="1"/>
      <c r="C27" s="1"/>
      <c r="D27" s="1"/>
      <c r="E27" s="1"/>
      <c r="F27" s="1"/>
    </row>
    <row r="28" spans="1:6" ht="30" customHeight="1">
      <c r="A28" s="17" t="s">
        <v>116</v>
      </c>
      <c r="B28" s="17"/>
      <c r="C28" s="17"/>
      <c r="D28" s="17"/>
      <c r="E28" s="17"/>
      <c r="F28" s="17"/>
    </row>
    <row r="29" spans="1:6" ht="26" customHeight="1">
      <c r="A29" s="1"/>
      <c r="B29" s="1"/>
      <c r="C29" s="1"/>
      <c r="D29" s="1"/>
      <c r="E29" s="1"/>
      <c r="F29" s="1"/>
    </row>
    <row r="30" spans="1:6" ht="26" customHeight="1">
      <c r="A30" s="2" t="s">
        <v>35</v>
      </c>
      <c r="B30" s="2" t="s">
        <v>36</v>
      </c>
      <c r="C30" s="1"/>
      <c r="D30" s="1"/>
      <c r="E30" s="1"/>
      <c r="F30" s="1"/>
    </row>
    <row r="31" spans="1:6" ht="26" customHeight="1">
      <c r="A31" s="1" t="s">
        <v>37</v>
      </c>
      <c r="B31" s="3">
        <v>10000</v>
      </c>
      <c r="C31" s="1"/>
      <c r="D31" s="1"/>
      <c r="E31" s="1"/>
      <c r="F31" s="1"/>
    </row>
    <row r="32" spans="1:6" ht="26" customHeight="1">
      <c r="A32" s="1" t="s">
        <v>38</v>
      </c>
      <c r="B32" s="3">
        <v>6500</v>
      </c>
      <c r="C32" s="1"/>
      <c r="D32" s="1"/>
      <c r="E32" s="1"/>
      <c r="F32" s="1"/>
    </row>
    <row r="33" spans="1:6" ht="26" customHeight="1">
      <c r="A33" s="1" t="s">
        <v>39</v>
      </c>
      <c r="B33" s="3"/>
      <c r="C33" s="1"/>
      <c r="D33" s="1"/>
      <c r="E33" s="1"/>
      <c r="F33" s="1"/>
    </row>
    <row r="34" spans="1:6" ht="26" customHeight="1">
      <c r="A34" s="1"/>
      <c r="B34" s="1"/>
      <c r="C34" s="1"/>
      <c r="D34" s="1"/>
      <c r="E34" s="1"/>
      <c r="F34" s="1"/>
    </row>
    <row r="35" spans="1:6" ht="30" customHeight="1">
      <c r="A35" s="16" t="s">
        <v>40</v>
      </c>
      <c r="B35" s="16"/>
      <c r="C35" s="16"/>
      <c r="D35" s="16"/>
      <c r="E35" s="16"/>
      <c r="F35" s="16"/>
    </row>
    <row r="36" spans="1:6" ht="30" customHeight="1">
      <c r="A36" s="16" t="s">
        <v>41</v>
      </c>
      <c r="B36" s="16"/>
      <c r="C36" s="16"/>
      <c r="D36" s="16"/>
      <c r="E36" s="16"/>
      <c r="F36" s="16"/>
    </row>
    <row r="37" spans="1:6" ht="26" customHeight="1">
      <c r="A37" s="1"/>
      <c r="B37" s="1"/>
      <c r="C37" s="1"/>
      <c r="D37" s="1"/>
      <c r="E37" s="1"/>
      <c r="F37" s="1"/>
    </row>
    <row r="38" spans="1:6" ht="30" customHeight="1">
      <c r="A38" s="17" t="s">
        <v>42</v>
      </c>
      <c r="B38" s="17"/>
      <c r="C38" s="17"/>
      <c r="D38" s="17"/>
      <c r="E38" s="17"/>
      <c r="F38" s="17"/>
    </row>
    <row r="39" spans="1:6" ht="30" customHeight="1">
      <c r="A39" s="16" t="s">
        <v>43</v>
      </c>
      <c r="B39" s="16"/>
      <c r="C39" s="16"/>
      <c r="D39" s="16"/>
      <c r="E39" s="16"/>
      <c r="F39" s="16"/>
    </row>
    <row r="40" spans="1:6" ht="26" customHeight="1">
      <c r="A40" s="1"/>
      <c r="B40" s="1"/>
      <c r="C40" s="1"/>
      <c r="D40" s="1"/>
      <c r="E40" s="1"/>
      <c r="F40" s="1"/>
    </row>
    <row r="41" spans="1:6" ht="34" customHeight="1">
      <c r="A41" s="16" t="s">
        <v>44</v>
      </c>
      <c r="B41" s="16"/>
      <c r="C41" s="16"/>
      <c r="D41" s="16"/>
      <c r="E41" s="16"/>
      <c r="F41" s="4"/>
    </row>
    <row r="42" spans="1:6" ht="26" customHeight="1">
      <c r="A42" s="1"/>
      <c r="B42" s="1"/>
      <c r="C42" s="1"/>
      <c r="D42" s="1"/>
      <c r="E42" s="1"/>
      <c r="F42" s="1"/>
    </row>
    <row r="43" spans="1:6" ht="34" customHeight="1">
      <c r="A43" s="16" t="s">
        <v>45</v>
      </c>
      <c r="B43" s="16"/>
      <c r="C43" s="16"/>
      <c r="D43" s="16"/>
      <c r="E43" s="16"/>
      <c r="F43" s="4"/>
    </row>
    <row r="44" spans="1:6" ht="26" customHeight="1">
      <c r="A44" s="1"/>
      <c r="B44" s="1"/>
      <c r="C44" s="1"/>
      <c r="D44" s="1"/>
      <c r="E44" s="1"/>
      <c r="F44" s="1"/>
    </row>
    <row r="45" spans="1:6" ht="34" customHeight="1">
      <c r="A45" s="16" t="s">
        <v>46</v>
      </c>
      <c r="B45" s="16"/>
      <c r="C45" s="16"/>
      <c r="D45" s="16"/>
      <c r="E45" s="16"/>
      <c r="F45" s="4"/>
    </row>
    <row r="46" spans="1:6" ht="26" customHeight="1">
      <c r="A46" s="1"/>
      <c r="B46" s="1"/>
      <c r="C46" s="1"/>
      <c r="D46" s="1"/>
      <c r="E46" s="1"/>
      <c r="F46" s="1"/>
    </row>
    <row r="47" spans="1:6" ht="34" customHeight="1">
      <c r="A47" s="16" t="s">
        <v>47</v>
      </c>
      <c r="B47" s="16"/>
      <c r="C47" s="16"/>
      <c r="D47" s="16"/>
      <c r="E47" s="16"/>
      <c r="F47" s="4"/>
    </row>
    <row r="48" spans="1:6" ht="26" customHeight="1">
      <c r="A48" s="1"/>
      <c r="B48" s="1"/>
      <c r="C48" s="1"/>
      <c r="D48" s="1"/>
      <c r="E48" s="1"/>
      <c r="F48" s="1"/>
    </row>
  </sheetData>
  <mergeCells count="16">
    <mergeCell ref="A47:E47"/>
    <mergeCell ref="A38:F38"/>
    <mergeCell ref="A39:F39"/>
    <mergeCell ref="A41:E41"/>
    <mergeCell ref="A43:E43"/>
    <mergeCell ref="A45:E45"/>
    <mergeCell ref="A24:F24"/>
    <mergeCell ref="A26:F26"/>
    <mergeCell ref="A28:F28"/>
    <mergeCell ref="A35:F35"/>
    <mergeCell ref="A36:F36"/>
    <mergeCell ref="A2:F2"/>
    <mergeCell ref="A3:F3"/>
    <mergeCell ref="A5:F5"/>
    <mergeCell ref="A6:F6"/>
    <mergeCell ref="A7:F7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37C75"/>
  </sheetPr>
  <dimension ref="A1:F42"/>
  <sheetViews>
    <sheetView zoomScale="115" workbookViewId="0">
      <pane ySplit="3" topLeftCell="A4" activePane="bottomLeft" state="frozen"/>
      <selection pane="bottomLeft" activeCell="B36" sqref="B36"/>
    </sheetView>
  </sheetViews>
  <sheetFormatPr baseColWidth="10" defaultColWidth="8.83203125" defaultRowHeight="14"/>
  <cols>
    <col min="1" max="1" width="25" customWidth="1"/>
    <col min="2" max="2" width="23" customWidth="1"/>
    <col min="3" max="3" width="22" customWidth="1"/>
    <col min="4" max="4" width="23" customWidth="1"/>
    <col min="5" max="5" width="21" customWidth="1"/>
    <col min="6" max="6" width="18" customWidth="1"/>
  </cols>
  <sheetData>
    <row r="1" spans="1:6" ht="26" customHeight="1">
      <c r="A1" s="1"/>
      <c r="B1" s="1"/>
      <c r="C1" s="1"/>
      <c r="D1" s="1"/>
      <c r="E1" s="1"/>
      <c r="F1" s="1"/>
    </row>
    <row r="2" spans="1:6" ht="34" customHeight="1">
      <c r="A2" s="15" t="s">
        <v>48</v>
      </c>
      <c r="B2" s="15"/>
      <c r="C2" s="15"/>
      <c r="D2" s="15"/>
      <c r="E2" s="15"/>
      <c r="F2" s="15"/>
    </row>
    <row r="3" spans="1:6" ht="30" customHeight="1">
      <c r="A3" s="16" t="s">
        <v>126</v>
      </c>
      <c r="B3" s="16"/>
      <c r="C3" s="16"/>
      <c r="D3" s="16"/>
      <c r="E3" s="16"/>
      <c r="F3" s="16"/>
    </row>
    <row r="4" spans="1:6" ht="26" customHeight="1">
      <c r="A4" s="1"/>
      <c r="B4" s="1"/>
      <c r="C4" s="1"/>
      <c r="D4" s="1"/>
      <c r="E4" s="1"/>
      <c r="F4" s="1"/>
    </row>
    <row r="5" spans="1:6" ht="30" customHeight="1">
      <c r="A5" s="17" t="s">
        <v>118</v>
      </c>
      <c r="B5" s="17"/>
      <c r="C5" s="17"/>
      <c r="D5" s="17"/>
      <c r="E5" s="17"/>
      <c r="F5" s="17"/>
    </row>
    <row r="6" spans="1:6" ht="26" customHeight="1">
      <c r="A6" s="1"/>
      <c r="B6" s="1"/>
      <c r="C6" s="1"/>
      <c r="D6" s="1"/>
      <c r="E6" s="1"/>
      <c r="F6" s="1"/>
    </row>
    <row r="7" spans="1:6" ht="26" customHeight="1">
      <c r="A7" s="1"/>
      <c r="B7" s="1"/>
      <c r="C7" s="1"/>
      <c r="D7" s="1"/>
      <c r="E7" s="1"/>
      <c r="F7" s="1"/>
    </row>
    <row r="8" spans="1:6" ht="26" customHeight="1">
      <c r="A8" s="2" t="s">
        <v>49</v>
      </c>
      <c r="B8" s="2" t="s">
        <v>50</v>
      </c>
      <c r="C8" s="1"/>
      <c r="D8" s="1"/>
      <c r="E8" s="1"/>
      <c r="F8" s="1"/>
    </row>
    <row r="9" spans="1:6" ht="26" customHeight="1">
      <c r="A9" s="1" t="s">
        <v>51</v>
      </c>
      <c r="B9" s="3">
        <v>1000</v>
      </c>
      <c r="C9" s="1"/>
      <c r="D9" s="1"/>
      <c r="E9" s="1"/>
      <c r="F9" s="1"/>
    </row>
    <row r="10" spans="1:6" ht="26" customHeight="1">
      <c r="A10" s="1" t="s">
        <v>52</v>
      </c>
      <c r="B10" s="3">
        <v>1500</v>
      </c>
      <c r="C10" s="1"/>
      <c r="D10" s="1"/>
      <c r="E10" s="1"/>
      <c r="F10" s="1"/>
    </row>
    <row r="11" spans="1:6" ht="26" customHeight="1">
      <c r="A11" s="1" t="s">
        <v>53</v>
      </c>
      <c r="B11" s="3">
        <v>2000</v>
      </c>
      <c r="C11" s="1"/>
      <c r="D11" s="1"/>
      <c r="E11" s="1"/>
      <c r="F11" s="1"/>
    </row>
    <row r="12" spans="1:6" ht="26" customHeight="1">
      <c r="A12" s="1" t="s">
        <v>54</v>
      </c>
      <c r="B12" s="3">
        <v>500</v>
      </c>
      <c r="C12" s="1"/>
      <c r="D12" s="1"/>
      <c r="E12" s="1"/>
      <c r="F12" s="1"/>
    </row>
    <row r="13" spans="1:6" ht="26" customHeight="1">
      <c r="A13" s="1" t="s">
        <v>55</v>
      </c>
      <c r="B13" s="3">
        <v>1000</v>
      </c>
      <c r="C13" s="1"/>
      <c r="D13" s="1"/>
      <c r="E13" s="1"/>
      <c r="F13" s="1"/>
    </row>
    <row r="14" spans="1:6" ht="26" customHeight="1">
      <c r="A14" s="1"/>
      <c r="B14" s="1"/>
      <c r="C14" s="1"/>
      <c r="D14" s="1"/>
      <c r="E14" s="1"/>
      <c r="F14" s="1"/>
    </row>
    <row r="15" spans="1:6" ht="26" customHeight="1">
      <c r="A15" s="2" t="s">
        <v>56</v>
      </c>
      <c r="B15" s="2" t="s">
        <v>57</v>
      </c>
      <c r="C15" s="2" t="s">
        <v>58</v>
      </c>
      <c r="D15" s="2" t="s">
        <v>5</v>
      </c>
      <c r="E15" s="1"/>
      <c r="F15" s="1"/>
    </row>
    <row r="16" spans="1:6" ht="26" customHeight="1">
      <c r="A16" s="1" t="s">
        <v>59</v>
      </c>
      <c r="B16" s="1" t="s">
        <v>60</v>
      </c>
      <c r="C16" s="7" t="s">
        <v>121</v>
      </c>
      <c r="D16" s="3"/>
      <c r="E16" s="1"/>
      <c r="F16" s="1"/>
    </row>
    <row r="17" spans="1:6" ht="26" customHeight="1">
      <c r="A17" s="1" t="s">
        <v>61</v>
      </c>
      <c r="B17" s="1" t="s">
        <v>62</v>
      </c>
      <c r="C17" s="7" t="s">
        <v>122</v>
      </c>
      <c r="D17" s="3"/>
      <c r="E17" s="1"/>
      <c r="F17" s="1"/>
    </row>
    <row r="18" spans="1:6" ht="26" customHeight="1">
      <c r="A18" s="1" t="s">
        <v>63</v>
      </c>
      <c r="B18" s="1" t="s">
        <v>64</v>
      </c>
      <c r="C18" s="7" t="s">
        <v>123</v>
      </c>
      <c r="D18" s="3"/>
      <c r="E18" s="1"/>
      <c r="F18" s="1"/>
    </row>
    <row r="19" spans="1:6" ht="26" customHeight="1">
      <c r="A19" s="1" t="s">
        <v>65</v>
      </c>
      <c r="B19" s="1" t="s">
        <v>66</v>
      </c>
      <c r="C19" s="7" t="s">
        <v>124</v>
      </c>
      <c r="D19" s="3"/>
      <c r="E19" s="1"/>
      <c r="F19" s="1"/>
    </row>
    <row r="20" spans="1:6" ht="26" customHeight="1">
      <c r="A20" s="1" t="s">
        <v>67</v>
      </c>
      <c r="B20" s="1" t="s">
        <v>68</v>
      </c>
      <c r="C20" s="7" t="s">
        <v>125</v>
      </c>
      <c r="D20" s="3"/>
      <c r="E20" s="1"/>
      <c r="F20" s="1"/>
    </row>
    <row r="21" spans="1:6" ht="26" customHeight="1">
      <c r="A21" s="1"/>
      <c r="B21" s="1"/>
      <c r="C21" s="1"/>
      <c r="D21" s="1"/>
      <c r="E21" s="1"/>
      <c r="F21" s="1"/>
    </row>
    <row r="22" spans="1:6" ht="30" customHeight="1">
      <c r="A22" s="16" t="s">
        <v>69</v>
      </c>
      <c r="B22" s="16"/>
      <c r="C22" s="16"/>
      <c r="D22" s="16"/>
      <c r="E22" s="16"/>
      <c r="F22" s="16"/>
    </row>
    <row r="23" spans="1:6" ht="30" customHeight="1">
      <c r="A23" s="16" t="s">
        <v>70</v>
      </c>
      <c r="B23" s="16"/>
      <c r="C23" s="16"/>
      <c r="D23" s="16"/>
      <c r="E23" s="16"/>
      <c r="F23" s="16"/>
    </row>
    <row r="24" spans="1:6" ht="26" customHeight="1">
      <c r="A24" s="1"/>
      <c r="B24" s="1"/>
      <c r="C24" s="1"/>
      <c r="D24" s="1"/>
      <c r="E24" s="1"/>
      <c r="F24" s="1"/>
    </row>
    <row r="25" spans="1:6" ht="30" customHeight="1">
      <c r="A25" s="17" t="s">
        <v>71</v>
      </c>
      <c r="B25" s="17"/>
      <c r="C25" s="17"/>
      <c r="D25" s="17"/>
      <c r="E25" s="17"/>
      <c r="F25" s="17"/>
    </row>
    <row r="26" spans="1:6" ht="30" customHeight="1">
      <c r="A26" s="16" t="s">
        <v>72</v>
      </c>
      <c r="B26" s="16"/>
      <c r="C26" s="16"/>
      <c r="D26" s="16"/>
      <c r="E26" s="16"/>
      <c r="F26" s="16"/>
    </row>
    <row r="27" spans="1:6" ht="26" customHeight="1">
      <c r="A27" s="1"/>
      <c r="B27" s="1"/>
      <c r="C27" s="1"/>
      <c r="D27" s="1"/>
      <c r="E27" s="1"/>
      <c r="F27" s="1"/>
    </row>
    <row r="28" spans="1:6" ht="26" customHeight="1">
      <c r="A28" s="2" t="s">
        <v>73</v>
      </c>
      <c r="B28" s="2" t="s">
        <v>50</v>
      </c>
      <c r="C28" s="1"/>
      <c r="D28" s="1"/>
      <c r="E28" s="1"/>
      <c r="F28" s="1"/>
    </row>
    <row r="29" spans="1:6" ht="26" customHeight="1">
      <c r="A29" s="1" t="s">
        <v>74</v>
      </c>
      <c r="B29" s="3">
        <v>12000</v>
      </c>
      <c r="C29" s="1"/>
      <c r="D29" s="1"/>
      <c r="E29" s="1"/>
      <c r="F29" s="1"/>
    </row>
    <row r="30" spans="1:6" ht="26" customHeight="1">
      <c r="A30" s="1" t="s">
        <v>75</v>
      </c>
      <c r="B30" s="3">
        <v>18000</v>
      </c>
      <c r="C30" s="1"/>
      <c r="D30" s="1"/>
      <c r="E30" s="1"/>
      <c r="F30" s="1"/>
    </row>
    <row r="31" spans="1:6" ht="26" customHeight="1">
      <c r="A31" s="1" t="s">
        <v>76</v>
      </c>
      <c r="B31" s="3">
        <v>15000</v>
      </c>
      <c r="C31" s="1"/>
      <c r="D31" s="1"/>
      <c r="E31" s="1"/>
      <c r="F31" s="1"/>
    </row>
    <row r="32" spans="1:6" ht="26" customHeight="1">
      <c r="A32" s="1" t="s">
        <v>77</v>
      </c>
      <c r="B32" s="3">
        <v>10000</v>
      </c>
      <c r="C32" s="1"/>
      <c r="D32" s="1"/>
      <c r="E32" s="1"/>
      <c r="F32" s="1"/>
    </row>
    <row r="33" spans="1:6" ht="26" customHeight="1">
      <c r="A33" s="1" t="s">
        <v>78</v>
      </c>
      <c r="B33" s="3">
        <v>20000</v>
      </c>
      <c r="C33" s="1"/>
      <c r="D33" s="1"/>
      <c r="E33" s="1"/>
      <c r="F33" s="1"/>
    </row>
    <row r="34" spans="1:6" ht="26" customHeight="1">
      <c r="A34" s="1"/>
      <c r="B34" s="1"/>
      <c r="C34" s="1"/>
      <c r="D34" s="1"/>
      <c r="E34" s="1"/>
      <c r="F34" s="1"/>
    </row>
    <row r="35" spans="1:6" ht="26" customHeight="1">
      <c r="A35" s="2" t="s">
        <v>120</v>
      </c>
      <c r="B35" s="2" t="s">
        <v>79</v>
      </c>
      <c r="C35" s="2" t="s">
        <v>80</v>
      </c>
      <c r="D35" s="1"/>
      <c r="E35" s="1"/>
      <c r="F35" s="1"/>
    </row>
    <row r="36" spans="1:6" ht="26" customHeight="1">
      <c r="A36" s="1" t="s">
        <v>60</v>
      </c>
      <c r="B36" s="6"/>
      <c r="C36" s="1" t="s">
        <v>59</v>
      </c>
      <c r="D36" s="1"/>
      <c r="E36" s="1"/>
      <c r="F36" s="1"/>
    </row>
    <row r="37" spans="1:6" ht="26" customHeight="1">
      <c r="A37" s="1" t="s">
        <v>62</v>
      </c>
      <c r="B37" s="6"/>
      <c r="C37" s="1" t="s">
        <v>61</v>
      </c>
      <c r="D37" s="1"/>
      <c r="E37" s="1"/>
      <c r="F37" s="1"/>
    </row>
    <row r="38" spans="1:6" ht="26" customHeight="1">
      <c r="A38" s="1" t="s">
        <v>64</v>
      </c>
      <c r="B38" s="6"/>
      <c r="C38" s="1" t="s">
        <v>63</v>
      </c>
      <c r="D38" s="1"/>
      <c r="E38" s="1"/>
      <c r="F38" s="1"/>
    </row>
    <row r="39" spans="1:6" ht="26" customHeight="1">
      <c r="A39" s="1" t="s">
        <v>66</v>
      </c>
      <c r="B39" s="6"/>
      <c r="C39" s="1" t="s">
        <v>65</v>
      </c>
      <c r="D39" s="1"/>
      <c r="E39" s="1"/>
      <c r="F39" s="1"/>
    </row>
    <row r="40" spans="1:6" ht="26" customHeight="1">
      <c r="A40" s="1" t="s">
        <v>81</v>
      </c>
      <c r="B40" s="6"/>
      <c r="C40" s="1" t="s">
        <v>67</v>
      </c>
      <c r="D40" s="1"/>
      <c r="E40" s="1"/>
      <c r="F40" s="1"/>
    </row>
    <row r="41" spans="1:6" ht="26" customHeight="1">
      <c r="A41" s="1"/>
      <c r="B41" s="1"/>
      <c r="C41" s="1"/>
      <c r="D41" s="1"/>
      <c r="E41" s="1"/>
      <c r="F41" s="1"/>
    </row>
    <row r="42" spans="1:6" ht="26" customHeight="1">
      <c r="A42" s="1"/>
      <c r="B42" s="1"/>
      <c r="C42" s="1"/>
      <c r="D42" s="1"/>
      <c r="E42" s="1"/>
      <c r="F42" s="1"/>
    </row>
  </sheetData>
  <mergeCells count="7">
    <mergeCell ref="A22:F22"/>
    <mergeCell ref="A23:F23"/>
    <mergeCell ref="A25:F25"/>
    <mergeCell ref="A26:F26"/>
    <mergeCell ref="A2:F2"/>
    <mergeCell ref="A3:F3"/>
    <mergeCell ref="A5:F5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37C75"/>
  </sheetPr>
  <dimension ref="A1:F120"/>
  <sheetViews>
    <sheetView zoomScale="117" workbookViewId="0">
      <pane ySplit="3" topLeftCell="A95" activePane="bottomLeft" state="frozen"/>
      <selection pane="bottomLeft" activeCell="A26" sqref="A26:F26"/>
    </sheetView>
  </sheetViews>
  <sheetFormatPr baseColWidth="10" defaultColWidth="8.83203125" defaultRowHeight="14"/>
  <cols>
    <col min="1" max="1" width="25" customWidth="1"/>
    <col min="2" max="2" width="23" customWidth="1"/>
    <col min="3" max="3" width="22" customWidth="1"/>
    <col min="4" max="4" width="23" customWidth="1"/>
    <col min="5" max="5" width="21" customWidth="1"/>
    <col min="6" max="6" width="18" customWidth="1"/>
  </cols>
  <sheetData>
    <row r="1" spans="1:6" ht="26" customHeight="1">
      <c r="A1" s="8"/>
      <c r="B1" s="8"/>
      <c r="C1" s="8"/>
      <c r="D1" s="8"/>
      <c r="E1" s="8"/>
      <c r="F1" s="8"/>
    </row>
    <row r="2" spans="1:6" ht="34" customHeight="1">
      <c r="A2" s="21" t="s">
        <v>127</v>
      </c>
      <c r="B2" s="21"/>
      <c r="C2" s="21"/>
      <c r="D2" s="21"/>
      <c r="E2" s="21"/>
      <c r="F2" s="21"/>
    </row>
    <row r="3" spans="1:6" ht="30" customHeight="1">
      <c r="A3" s="18" t="s">
        <v>126</v>
      </c>
      <c r="B3" s="18"/>
      <c r="C3" s="18"/>
      <c r="D3" s="18"/>
      <c r="E3" s="18"/>
      <c r="F3" s="18"/>
    </row>
    <row r="4" spans="1:6" ht="26" customHeight="1">
      <c r="A4" s="8"/>
      <c r="B4" s="8"/>
      <c r="C4" s="8"/>
      <c r="D4" s="8"/>
      <c r="E4" s="8"/>
      <c r="F4" s="8"/>
    </row>
    <row r="5" spans="1:6" ht="30" customHeight="1">
      <c r="A5" s="20" t="s">
        <v>175</v>
      </c>
      <c r="B5" s="20"/>
      <c r="C5" s="20"/>
      <c r="D5" s="20"/>
      <c r="E5" s="20"/>
      <c r="F5" s="20"/>
    </row>
    <row r="6" spans="1:6" ht="30" customHeight="1">
      <c r="A6" s="18" t="s">
        <v>82</v>
      </c>
      <c r="B6" s="18"/>
      <c r="C6" s="18"/>
      <c r="D6" s="18"/>
      <c r="E6" s="18"/>
      <c r="F6" s="18"/>
    </row>
    <row r="7" spans="1:6" ht="30" customHeight="1">
      <c r="A7" s="18" t="s">
        <v>83</v>
      </c>
      <c r="B7" s="18"/>
      <c r="C7" s="18"/>
      <c r="D7" s="18"/>
      <c r="E7" s="18"/>
      <c r="F7" s="18"/>
    </row>
    <row r="8" spans="1:6" ht="26" customHeight="1">
      <c r="A8" s="8"/>
      <c r="B8" s="8"/>
      <c r="C8" s="8"/>
      <c r="D8" s="8"/>
      <c r="E8" s="8"/>
      <c r="F8" s="8"/>
    </row>
    <row r="9" spans="1:6" ht="26" customHeight="1">
      <c r="A9" s="9" t="s">
        <v>84</v>
      </c>
      <c r="B9" s="9" t="s">
        <v>85</v>
      </c>
      <c r="C9" s="9" t="s">
        <v>86</v>
      </c>
      <c r="D9" s="9" t="s">
        <v>36</v>
      </c>
      <c r="E9" s="9" t="s">
        <v>87</v>
      </c>
      <c r="F9" s="8"/>
    </row>
    <row r="10" spans="1:6" ht="26" customHeight="1">
      <c r="A10" s="8" t="s">
        <v>88</v>
      </c>
      <c r="B10" s="10">
        <v>80</v>
      </c>
      <c r="C10" s="10">
        <v>2</v>
      </c>
      <c r="D10" s="10"/>
      <c r="E10" s="8" t="s">
        <v>89</v>
      </c>
      <c r="F10" s="8"/>
    </row>
    <row r="11" spans="1:6" ht="26" customHeight="1">
      <c r="A11" s="8" t="s">
        <v>90</v>
      </c>
      <c r="B11" s="10">
        <v>100</v>
      </c>
      <c r="C11" s="10">
        <v>3</v>
      </c>
      <c r="D11" s="10"/>
      <c r="E11" s="8" t="s">
        <v>91</v>
      </c>
      <c r="F11" s="8"/>
    </row>
    <row r="12" spans="1:6" ht="26" customHeight="1">
      <c r="A12" s="8" t="s">
        <v>92</v>
      </c>
      <c r="B12" s="10">
        <v>150</v>
      </c>
      <c r="C12" s="10">
        <v>2</v>
      </c>
      <c r="D12" s="10"/>
      <c r="E12" s="8" t="s">
        <v>93</v>
      </c>
      <c r="F12" s="8"/>
    </row>
    <row r="13" spans="1:6" ht="26" customHeight="1">
      <c r="A13" s="8"/>
      <c r="B13" s="8"/>
      <c r="C13" s="8"/>
      <c r="D13" s="8"/>
      <c r="E13" s="8"/>
      <c r="F13" s="8"/>
    </row>
    <row r="14" spans="1:6" ht="30" customHeight="1">
      <c r="A14" s="18" t="s">
        <v>94</v>
      </c>
      <c r="B14" s="18"/>
      <c r="C14" s="18"/>
      <c r="D14" s="18"/>
      <c r="E14" s="18"/>
      <c r="F14" s="18"/>
    </row>
    <row r="15" spans="1:6" ht="26" customHeight="1">
      <c r="A15" s="8"/>
      <c r="B15" s="8"/>
      <c r="C15" s="8"/>
      <c r="D15" s="8"/>
      <c r="E15" s="8"/>
      <c r="F15" s="8"/>
    </row>
    <row r="16" spans="1:6" ht="30" customHeight="1">
      <c r="A16" s="20" t="s">
        <v>176</v>
      </c>
      <c r="B16" s="20"/>
      <c r="C16" s="20"/>
      <c r="D16" s="20"/>
      <c r="E16" s="20"/>
      <c r="F16" s="20"/>
    </row>
    <row r="17" spans="1:6" ht="30" customHeight="1">
      <c r="A17" s="18" t="s">
        <v>95</v>
      </c>
      <c r="B17" s="18"/>
      <c r="C17" s="18"/>
      <c r="D17" s="18"/>
      <c r="E17" s="18"/>
      <c r="F17" s="18"/>
    </row>
    <row r="18" spans="1:6" ht="26" customHeight="1">
      <c r="A18" s="8"/>
      <c r="B18" s="8"/>
      <c r="C18" s="8"/>
      <c r="D18" s="8"/>
      <c r="E18" s="8"/>
      <c r="F18" s="8"/>
    </row>
    <row r="19" spans="1:6" ht="26" customHeight="1">
      <c r="A19" s="8" t="s">
        <v>96</v>
      </c>
      <c r="B19" s="11">
        <v>0.02</v>
      </c>
      <c r="C19" s="8"/>
      <c r="D19" s="8"/>
      <c r="E19" s="8"/>
      <c r="F19" s="8"/>
    </row>
    <row r="20" spans="1:6" ht="26" customHeight="1">
      <c r="A20" s="8"/>
      <c r="B20" s="8"/>
      <c r="C20" s="8"/>
      <c r="D20" s="8"/>
      <c r="E20" s="8"/>
      <c r="F20" s="8"/>
    </row>
    <row r="21" spans="1:6" ht="26" customHeight="1">
      <c r="A21" s="9" t="s">
        <v>97</v>
      </c>
      <c r="B21" s="9" t="s">
        <v>98</v>
      </c>
      <c r="C21" s="9" t="s">
        <v>99</v>
      </c>
      <c r="D21" s="9" t="s">
        <v>87</v>
      </c>
      <c r="E21" s="8"/>
      <c r="F21" s="8"/>
    </row>
    <row r="22" spans="1:6" ht="26" customHeight="1">
      <c r="A22" s="8" t="s">
        <v>100</v>
      </c>
      <c r="B22" s="10">
        <v>10000</v>
      </c>
      <c r="C22" s="10"/>
      <c r="D22" s="18" t="s">
        <v>101</v>
      </c>
      <c r="E22" s="18"/>
      <c r="F22" s="18"/>
    </row>
    <row r="23" spans="1:6" ht="26" customHeight="1">
      <c r="A23" s="8" t="s">
        <v>102</v>
      </c>
      <c r="B23" s="10">
        <v>20000</v>
      </c>
      <c r="C23" s="10"/>
      <c r="D23" s="18" t="s">
        <v>103</v>
      </c>
      <c r="E23" s="18"/>
      <c r="F23" s="18"/>
    </row>
    <row r="24" spans="1:6" ht="26" customHeight="1">
      <c r="A24" s="8" t="s">
        <v>104</v>
      </c>
      <c r="B24" s="10">
        <v>50000</v>
      </c>
      <c r="C24" s="10"/>
      <c r="D24" s="18" t="s">
        <v>105</v>
      </c>
      <c r="E24" s="18"/>
      <c r="F24" s="18"/>
    </row>
    <row r="25" spans="1:6" ht="26" customHeight="1">
      <c r="A25" s="8"/>
      <c r="B25" s="8"/>
      <c r="C25" s="8"/>
      <c r="D25" s="8"/>
      <c r="E25" s="8"/>
      <c r="F25" s="8"/>
    </row>
    <row r="26" spans="1:6" ht="30" customHeight="1">
      <c r="A26" s="18" t="s">
        <v>106</v>
      </c>
      <c r="B26" s="18"/>
      <c r="C26" s="18"/>
      <c r="D26" s="18"/>
      <c r="E26" s="18"/>
      <c r="F26" s="18"/>
    </row>
    <row r="27" spans="1:6" ht="30" customHeight="1">
      <c r="A27" s="18" t="s">
        <v>107</v>
      </c>
      <c r="B27" s="18"/>
      <c r="C27" s="18"/>
      <c r="D27" s="18"/>
      <c r="E27" s="18"/>
      <c r="F27" s="18"/>
    </row>
    <row r="28" spans="1:6" ht="26" customHeight="1">
      <c r="A28" s="8"/>
      <c r="B28" s="8"/>
      <c r="C28" s="8"/>
      <c r="D28" s="8"/>
      <c r="E28" s="8"/>
      <c r="F28" s="8"/>
    </row>
    <row r="29" spans="1:6" ht="30" customHeight="1">
      <c r="A29" s="20" t="s">
        <v>178</v>
      </c>
      <c r="B29" s="20"/>
      <c r="C29" s="20"/>
      <c r="D29" s="20"/>
      <c r="E29" s="20"/>
      <c r="F29" s="20"/>
    </row>
    <row r="30" spans="1:6" ht="30" customHeight="1">
      <c r="A30" s="18" t="s">
        <v>128</v>
      </c>
      <c r="B30" s="18"/>
      <c r="C30" s="18"/>
      <c r="D30" s="18"/>
      <c r="E30" s="18"/>
      <c r="F30" s="18"/>
    </row>
    <row r="31" spans="1:6" ht="26" customHeight="1">
      <c r="A31" s="8"/>
      <c r="B31" s="8"/>
      <c r="C31" s="8"/>
      <c r="D31" s="8"/>
      <c r="E31" s="8"/>
      <c r="F31" s="8"/>
    </row>
    <row r="32" spans="1:6" ht="26" customHeight="1">
      <c r="A32" s="9" t="s">
        <v>129</v>
      </c>
      <c r="B32" s="9" t="s">
        <v>130</v>
      </c>
      <c r="C32" s="9" t="s">
        <v>131</v>
      </c>
      <c r="D32" s="9" t="s">
        <v>132</v>
      </c>
      <c r="E32" s="8"/>
      <c r="F32" s="8"/>
    </row>
    <row r="33" spans="1:6" ht="26" customHeight="1">
      <c r="A33" s="8" t="s">
        <v>133</v>
      </c>
      <c r="B33" s="8" t="s">
        <v>134</v>
      </c>
      <c r="C33" s="8" t="s">
        <v>135</v>
      </c>
      <c r="D33" s="8" t="s">
        <v>136</v>
      </c>
      <c r="E33" s="8"/>
      <c r="F33" s="8"/>
    </row>
    <row r="34" spans="1:6" ht="26" customHeight="1">
      <c r="A34" s="8" t="s">
        <v>137</v>
      </c>
      <c r="B34" s="8" t="s">
        <v>138</v>
      </c>
      <c r="C34" s="8" t="s">
        <v>138</v>
      </c>
      <c r="D34" s="8" t="s">
        <v>138</v>
      </c>
      <c r="E34" s="8"/>
      <c r="F34" s="8"/>
    </row>
    <row r="35" spans="1:6" ht="26" customHeight="1">
      <c r="A35" s="8" t="s">
        <v>139</v>
      </c>
      <c r="B35" s="8" t="s">
        <v>140</v>
      </c>
      <c r="C35" s="8" t="s">
        <v>140</v>
      </c>
      <c r="D35" s="8" t="s">
        <v>141</v>
      </c>
      <c r="E35" s="8"/>
      <c r="F35" s="8"/>
    </row>
    <row r="36" spans="1:6" ht="26" customHeight="1">
      <c r="A36" s="8" t="s">
        <v>142</v>
      </c>
      <c r="B36" s="8" t="s">
        <v>143</v>
      </c>
      <c r="C36" s="8" t="s">
        <v>144</v>
      </c>
      <c r="D36" s="8" t="s">
        <v>143</v>
      </c>
      <c r="E36" s="8"/>
      <c r="F36" s="8"/>
    </row>
    <row r="37" spans="1:6" ht="26" customHeight="1">
      <c r="A37" s="8"/>
      <c r="B37" s="8"/>
      <c r="C37" s="8"/>
      <c r="D37" s="8"/>
      <c r="E37" s="8"/>
      <c r="F37" s="8"/>
    </row>
    <row r="38" spans="1:6" ht="30" customHeight="1">
      <c r="A38" s="18" t="s">
        <v>145</v>
      </c>
      <c r="B38" s="18"/>
      <c r="C38" s="18"/>
      <c r="D38" s="18"/>
      <c r="E38" s="18"/>
      <c r="F38" s="18"/>
    </row>
    <row r="39" spans="1:6" ht="26" customHeight="1">
      <c r="A39" s="8"/>
      <c r="B39" s="8"/>
      <c r="C39" s="8"/>
      <c r="D39" s="8"/>
      <c r="E39" s="8"/>
      <c r="F39" s="8"/>
    </row>
    <row r="40" spans="1:6" ht="26" customHeight="1">
      <c r="A40" s="9" t="s">
        <v>146</v>
      </c>
      <c r="B40" s="12">
        <v>0.01</v>
      </c>
      <c r="C40" s="12">
        <v>0.02</v>
      </c>
      <c r="D40" s="12">
        <v>0.03</v>
      </c>
      <c r="E40" s="8"/>
      <c r="F40" s="8"/>
    </row>
    <row r="41" spans="1:6" ht="26" customHeight="1">
      <c r="A41" s="10">
        <v>10000</v>
      </c>
      <c r="B41" s="10">
        <f>$A41*B$40</f>
        <v>100</v>
      </c>
      <c r="C41" s="10">
        <f t="shared" ref="C41:D41" si="0">$A41*C$40</f>
        <v>200</v>
      </c>
      <c r="D41" s="10">
        <f t="shared" si="0"/>
        <v>300</v>
      </c>
      <c r="E41" s="8"/>
      <c r="F41" s="8"/>
    </row>
    <row r="42" spans="1:6" ht="26" customHeight="1">
      <c r="A42" s="10">
        <v>20000</v>
      </c>
      <c r="B42" s="10">
        <f t="shared" ref="B42:B43" si="1">$A42*B$40</f>
        <v>200</v>
      </c>
      <c r="C42" s="10"/>
      <c r="D42" s="10"/>
      <c r="E42" s="8"/>
      <c r="F42" s="8"/>
    </row>
    <row r="43" spans="1:6" ht="26" customHeight="1">
      <c r="A43" s="10">
        <v>50000</v>
      </c>
      <c r="B43" s="10">
        <f t="shared" si="1"/>
        <v>500</v>
      </c>
      <c r="C43" s="10"/>
      <c r="D43" s="10"/>
      <c r="E43" s="8"/>
      <c r="F43" s="8"/>
    </row>
    <row r="44" spans="1:6" ht="26" customHeight="1">
      <c r="A44" s="8"/>
      <c r="B44" s="8"/>
      <c r="C44" s="8"/>
      <c r="D44" s="8"/>
      <c r="E44" s="8"/>
      <c r="F44" s="8"/>
    </row>
    <row r="45" spans="1:6" ht="30" customHeight="1">
      <c r="A45" s="18" t="s">
        <v>147</v>
      </c>
      <c r="B45" s="18"/>
      <c r="C45" s="18"/>
      <c r="D45" s="18"/>
      <c r="E45" s="18"/>
      <c r="F45" s="18"/>
    </row>
    <row r="46" spans="1:6" ht="30" customHeight="1">
      <c r="A46" s="18" t="s">
        <v>148</v>
      </c>
      <c r="B46" s="18"/>
      <c r="C46" s="18"/>
      <c r="D46" s="18"/>
      <c r="E46" s="18"/>
      <c r="F46" s="18"/>
    </row>
    <row r="47" spans="1:6" ht="30" customHeight="1">
      <c r="A47" s="18" t="s">
        <v>149</v>
      </c>
      <c r="B47" s="18"/>
      <c r="C47" s="18"/>
      <c r="D47" s="18"/>
      <c r="E47" s="18"/>
      <c r="F47" s="18"/>
    </row>
    <row r="48" spans="1:6" ht="26" customHeight="1">
      <c r="A48" s="8"/>
      <c r="B48" s="8"/>
      <c r="C48" s="8"/>
      <c r="D48" s="8"/>
      <c r="E48" s="8"/>
      <c r="F48" s="8"/>
    </row>
    <row r="49" spans="1:6" ht="26" customHeight="1">
      <c r="A49" s="9" t="s">
        <v>150</v>
      </c>
      <c r="B49" s="9" t="s">
        <v>87</v>
      </c>
      <c r="C49" s="8"/>
      <c r="D49" s="8"/>
      <c r="E49" s="8"/>
      <c r="F49" s="8"/>
    </row>
    <row r="50" spans="1:6" ht="26" customHeight="1">
      <c r="A50" s="8" t="s">
        <v>151</v>
      </c>
      <c r="B50" s="8" t="s">
        <v>152</v>
      </c>
      <c r="C50" s="8"/>
      <c r="D50" s="8"/>
      <c r="E50" s="8"/>
      <c r="F50" s="8"/>
    </row>
    <row r="51" spans="1:6" ht="26" customHeight="1">
      <c r="A51" s="8" t="s">
        <v>153</v>
      </c>
      <c r="B51" s="8" t="s">
        <v>154</v>
      </c>
      <c r="C51" s="8"/>
      <c r="D51" s="8"/>
      <c r="E51" s="8"/>
      <c r="F51" s="8"/>
    </row>
    <row r="52" spans="1:6" ht="26" customHeight="1">
      <c r="A52" s="8" t="s">
        <v>155</v>
      </c>
      <c r="B52" s="8" t="s">
        <v>156</v>
      </c>
      <c r="C52" s="8"/>
      <c r="D52" s="8"/>
      <c r="E52" s="8"/>
      <c r="F52" s="8"/>
    </row>
    <row r="53" spans="1:6" ht="26" customHeight="1">
      <c r="A53" s="8"/>
      <c r="B53" s="8"/>
      <c r="C53" s="8"/>
      <c r="D53" s="8"/>
      <c r="E53" s="8"/>
      <c r="F53" s="8"/>
    </row>
    <row r="54" spans="1:6" ht="26" customHeight="1">
      <c r="A54" s="8"/>
      <c r="B54" s="8"/>
      <c r="C54" s="8"/>
      <c r="D54" s="8"/>
      <c r="E54" s="8"/>
      <c r="F54" s="8"/>
    </row>
    <row r="55" spans="1:6" ht="30" customHeight="1">
      <c r="A55" s="20" t="s">
        <v>108</v>
      </c>
      <c r="B55" s="20"/>
      <c r="C55" s="20"/>
      <c r="D55" s="20"/>
      <c r="E55" s="20"/>
      <c r="F55" s="20"/>
    </row>
    <row r="56" spans="1:6" ht="26" customHeight="1">
      <c r="A56" s="8"/>
      <c r="B56" s="8"/>
      <c r="C56" s="8"/>
      <c r="D56" s="8"/>
      <c r="E56" s="8"/>
      <c r="F56" s="8"/>
    </row>
    <row r="57" spans="1:6" ht="26" customHeight="1">
      <c r="A57" s="9" t="s">
        <v>84</v>
      </c>
      <c r="B57" s="9" t="s">
        <v>85</v>
      </c>
      <c r="C57" s="9" t="s">
        <v>86</v>
      </c>
      <c r="D57" s="9" t="s">
        <v>36</v>
      </c>
      <c r="E57" s="8"/>
      <c r="F57" s="8"/>
    </row>
    <row r="58" spans="1:6" ht="26" customHeight="1">
      <c r="A58" s="8" t="s">
        <v>109</v>
      </c>
      <c r="B58" s="10">
        <v>180</v>
      </c>
      <c r="C58" s="10">
        <v>3</v>
      </c>
      <c r="D58" s="14"/>
      <c r="E58" s="8"/>
      <c r="F58" s="8"/>
    </row>
    <row r="59" spans="1:6" ht="26" customHeight="1">
      <c r="A59" s="8" t="s">
        <v>110</v>
      </c>
      <c r="B59" s="10">
        <v>120</v>
      </c>
      <c r="C59" s="10">
        <v>5</v>
      </c>
      <c r="D59" s="14"/>
      <c r="E59" s="8"/>
      <c r="F59" s="8"/>
    </row>
    <row r="60" spans="1:6" ht="26" customHeight="1">
      <c r="A60" s="8" t="s">
        <v>111</v>
      </c>
      <c r="B60" s="10">
        <v>250</v>
      </c>
      <c r="C60" s="10">
        <v>2</v>
      </c>
      <c r="D60" s="14"/>
      <c r="E60" s="8"/>
      <c r="F60" s="8"/>
    </row>
    <row r="61" spans="1:6" ht="26" customHeight="1">
      <c r="A61" s="8"/>
      <c r="B61" s="8"/>
      <c r="C61" s="8"/>
      <c r="D61" s="8"/>
      <c r="E61" s="8"/>
      <c r="F61" s="8"/>
    </row>
    <row r="62" spans="1:6" ht="30" customHeight="1">
      <c r="A62" s="18" t="s">
        <v>157</v>
      </c>
      <c r="B62" s="18"/>
      <c r="C62" s="18"/>
      <c r="D62" s="18"/>
      <c r="E62" s="18"/>
      <c r="F62" s="18"/>
    </row>
    <row r="63" spans="1:6" ht="30" customHeight="1">
      <c r="A63" s="18" t="s">
        <v>158</v>
      </c>
      <c r="B63" s="18"/>
      <c r="C63" s="18"/>
      <c r="D63" s="18"/>
      <c r="E63" s="18"/>
      <c r="F63" s="18"/>
    </row>
    <row r="64" spans="1:6" ht="30" customHeight="1">
      <c r="A64" s="18" t="s">
        <v>159</v>
      </c>
      <c r="B64" s="18"/>
      <c r="C64" s="18"/>
      <c r="D64" s="18"/>
      <c r="E64" s="18"/>
      <c r="F64" s="18"/>
    </row>
    <row r="65" spans="1:6" ht="26" customHeight="1"/>
    <row r="68" spans="1:6">
      <c r="A68" s="19"/>
      <c r="B68" s="19"/>
      <c r="C68" s="19"/>
      <c r="D68" s="19"/>
      <c r="E68" s="19"/>
      <c r="F68" s="19"/>
    </row>
    <row r="69" spans="1:6" ht="26" customHeight="1">
      <c r="A69" s="8"/>
      <c r="B69" s="8"/>
      <c r="C69" s="8"/>
      <c r="D69" s="8"/>
      <c r="E69" s="8"/>
      <c r="F69" s="8"/>
    </row>
    <row r="70" spans="1:6" ht="26" customHeight="1">
      <c r="A70" s="8" t="s">
        <v>96</v>
      </c>
      <c r="B70" s="11">
        <v>0.02</v>
      </c>
      <c r="C70" s="8"/>
      <c r="D70" s="8"/>
      <c r="E70" s="8"/>
      <c r="F70" s="8"/>
    </row>
    <row r="71" spans="1:6" ht="26" customHeight="1">
      <c r="A71" s="8"/>
      <c r="B71" s="8"/>
      <c r="C71" s="8"/>
      <c r="D71" s="8"/>
      <c r="E71" s="8"/>
      <c r="F71" s="8"/>
    </row>
    <row r="72" spans="1:6" ht="26" customHeight="1">
      <c r="A72" s="9" t="s">
        <v>97</v>
      </c>
      <c r="B72" s="9" t="s">
        <v>98</v>
      </c>
      <c r="C72" s="9" t="s">
        <v>99</v>
      </c>
      <c r="D72" s="9" t="s">
        <v>112</v>
      </c>
      <c r="E72" s="8"/>
      <c r="F72" s="8"/>
    </row>
    <row r="73" spans="1:6" ht="26" customHeight="1">
      <c r="A73" s="8" t="s">
        <v>113</v>
      </c>
      <c r="B73" s="10">
        <v>10000</v>
      </c>
      <c r="C73" s="14"/>
      <c r="D73" s="14"/>
      <c r="E73" s="8"/>
      <c r="F73" s="8"/>
    </row>
    <row r="74" spans="1:6" ht="26" customHeight="1">
      <c r="A74" s="8" t="s">
        <v>114</v>
      </c>
      <c r="B74" s="10">
        <v>20000</v>
      </c>
      <c r="C74" s="14"/>
      <c r="D74" s="14"/>
      <c r="E74" s="8"/>
      <c r="F74" s="8"/>
    </row>
    <row r="75" spans="1:6" ht="26" customHeight="1">
      <c r="A75" s="8" t="s">
        <v>115</v>
      </c>
      <c r="B75" s="10">
        <v>50000</v>
      </c>
      <c r="C75" s="14"/>
      <c r="D75" s="14"/>
      <c r="E75" s="8"/>
      <c r="F75" s="8"/>
    </row>
    <row r="76" spans="1:6" ht="26" customHeight="1">
      <c r="A76" s="8"/>
      <c r="B76" s="8"/>
      <c r="C76" s="8"/>
      <c r="D76" s="8"/>
      <c r="E76" s="8"/>
      <c r="F76" s="8"/>
    </row>
    <row r="77" spans="1:6" ht="30" customHeight="1">
      <c r="A77" s="18"/>
      <c r="B77" s="18"/>
      <c r="C77" s="18"/>
      <c r="D77" s="18"/>
      <c r="E77" s="18"/>
      <c r="F77" s="18"/>
    </row>
    <row r="78" spans="1:6" ht="30" customHeight="1">
      <c r="A78" s="18" t="s">
        <v>160</v>
      </c>
      <c r="B78" s="18"/>
      <c r="C78" s="18"/>
      <c r="D78" s="18"/>
      <c r="E78" s="18"/>
      <c r="F78" s="18"/>
    </row>
    <row r="79" spans="1:6" ht="30" customHeight="1">
      <c r="A79" s="18" t="s">
        <v>161</v>
      </c>
      <c r="B79" s="18"/>
      <c r="C79" s="18"/>
      <c r="D79" s="18"/>
      <c r="E79" s="18"/>
      <c r="F79" s="18"/>
    </row>
    <row r="80" spans="1:6" ht="30" customHeight="1">
      <c r="A80" s="18" t="s">
        <v>162</v>
      </c>
      <c r="B80" s="18"/>
      <c r="C80" s="18"/>
      <c r="D80" s="18"/>
      <c r="E80" s="18"/>
      <c r="F80" s="18"/>
    </row>
    <row r="81" spans="1:6" ht="30" customHeight="1">
      <c r="A81" s="18" t="s">
        <v>163</v>
      </c>
      <c r="B81" s="18"/>
      <c r="C81" s="18"/>
      <c r="D81" s="18"/>
      <c r="E81" s="18"/>
      <c r="F81" s="18"/>
    </row>
    <row r="82" spans="1:6" ht="26" customHeight="1">
      <c r="A82" s="8"/>
      <c r="B82" s="8"/>
      <c r="C82" s="8"/>
      <c r="D82" s="8"/>
      <c r="E82" s="8"/>
      <c r="F82" s="8"/>
    </row>
    <row r="83" spans="1:6" ht="30" customHeight="1">
      <c r="A83" s="18" t="s">
        <v>164</v>
      </c>
      <c r="B83" s="18"/>
      <c r="C83" s="18"/>
      <c r="D83" s="18"/>
      <c r="E83" s="18"/>
      <c r="F83" s="18"/>
    </row>
    <row r="84" spans="1:6" ht="30" customHeight="1"/>
    <row r="90" spans="1:6">
      <c r="A90" s="19"/>
      <c r="B90" s="19"/>
      <c r="C90" s="19"/>
      <c r="D90" s="19"/>
      <c r="E90" s="19"/>
      <c r="F90" s="19"/>
    </row>
    <row r="91" spans="1:6" ht="26" customHeight="1">
      <c r="A91" s="8"/>
      <c r="B91" s="8"/>
      <c r="C91" s="8"/>
      <c r="D91" s="8"/>
      <c r="E91" s="8"/>
      <c r="F91" s="8"/>
    </row>
    <row r="92" spans="1:6" ht="40" customHeight="1">
      <c r="A92" s="9" t="s">
        <v>84</v>
      </c>
      <c r="B92" s="9" t="s">
        <v>86</v>
      </c>
      <c r="C92" s="9" t="s">
        <v>165</v>
      </c>
      <c r="D92" s="9" t="s">
        <v>166</v>
      </c>
      <c r="E92" s="9" t="s">
        <v>167</v>
      </c>
      <c r="F92" s="9" t="s">
        <v>168</v>
      </c>
    </row>
    <row r="93" spans="1:6" ht="26" customHeight="1">
      <c r="A93" s="8" t="s">
        <v>109</v>
      </c>
      <c r="B93" s="10">
        <v>3</v>
      </c>
      <c r="C93" s="10">
        <v>180</v>
      </c>
      <c r="D93" s="10">
        <v>160</v>
      </c>
      <c r="E93" s="14"/>
      <c r="F93" s="14"/>
    </row>
    <row r="94" spans="1:6" ht="26" customHeight="1">
      <c r="A94" s="8" t="s">
        <v>110</v>
      </c>
      <c r="B94" s="10">
        <v>5</v>
      </c>
      <c r="C94" s="10">
        <v>120</v>
      </c>
      <c r="D94" s="10">
        <v>100</v>
      </c>
      <c r="E94" s="14"/>
      <c r="F94" s="14"/>
    </row>
    <row r="95" spans="1:6" ht="26" customHeight="1">
      <c r="A95" s="8" t="s">
        <v>111</v>
      </c>
      <c r="B95" s="10">
        <v>2</v>
      </c>
      <c r="C95" s="10">
        <v>250</v>
      </c>
      <c r="D95" s="10">
        <v>220</v>
      </c>
      <c r="E95" s="14"/>
      <c r="F95" s="14"/>
    </row>
    <row r="96" spans="1:6" ht="26" customHeight="1">
      <c r="A96" s="8"/>
      <c r="B96" s="8"/>
      <c r="C96" s="8"/>
      <c r="D96" s="8"/>
      <c r="E96" s="8"/>
      <c r="F96" s="8"/>
    </row>
    <row r="97" spans="1:6" ht="30" customHeight="1">
      <c r="A97" s="18" t="s">
        <v>169</v>
      </c>
      <c r="B97" s="18"/>
      <c r="C97" s="18"/>
      <c r="D97" s="18"/>
      <c r="E97" s="18"/>
      <c r="F97" s="18"/>
    </row>
    <row r="98" spans="1:6" ht="30" customHeight="1">
      <c r="A98" s="18" t="s">
        <v>170</v>
      </c>
      <c r="B98" s="18"/>
      <c r="C98" s="18"/>
      <c r="D98" s="18"/>
      <c r="E98" s="18"/>
      <c r="F98" s="18"/>
    </row>
    <row r="99" spans="1:6" ht="30" customHeight="1">
      <c r="A99" s="18" t="s">
        <v>171</v>
      </c>
      <c r="B99" s="18"/>
      <c r="C99" s="18"/>
      <c r="D99" s="18"/>
      <c r="E99" s="18"/>
      <c r="F99" s="18"/>
    </row>
    <row r="100" spans="1:6" ht="26" customHeight="1"/>
    <row r="103" spans="1:6">
      <c r="A103" s="19"/>
      <c r="B103" s="19"/>
      <c r="C103" s="19"/>
      <c r="D103" s="19"/>
      <c r="E103" s="19"/>
      <c r="F103" s="19"/>
    </row>
    <row r="104" spans="1:6" ht="26" customHeight="1">
      <c r="A104" s="8"/>
      <c r="B104" s="8"/>
      <c r="C104" s="8"/>
      <c r="D104" s="8"/>
      <c r="E104" s="8"/>
      <c r="F104" s="8"/>
    </row>
    <row r="105" spans="1:6" ht="26" customHeight="1">
      <c r="A105" s="9" t="s">
        <v>146</v>
      </c>
      <c r="B105" s="13">
        <v>1.4999999999999999E-2</v>
      </c>
      <c r="C105" s="13">
        <v>2.5000000000000001E-2</v>
      </c>
      <c r="D105" s="13">
        <v>3.5000000000000003E-2</v>
      </c>
      <c r="E105" s="8"/>
      <c r="F105" s="8"/>
    </row>
    <row r="106" spans="1:6" ht="26" customHeight="1">
      <c r="A106" s="10">
        <v>30000</v>
      </c>
      <c r="B106" s="14"/>
      <c r="C106" s="14"/>
      <c r="D106" s="14"/>
      <c r="E106" s="8"/>
      <c r="F106" s="8"/>
    </row>
    <row r="107" spans="1:6" ht="26" customHeight="1">
      <c r="A107" s="10">
        <v>60000</v>
      </c>
      <c r="B107" s="14"/>
      <c r="C107" s="14"/>
      <c r="D107" s="14"/>
      <c r="E107" s="8"/>
      <c r="F107" s="8"/>
    </row>
    <row r="108" spans="1:6" ht="26" customHeight="1">
      <c r="A108" s="10">
        <v>90000</v>
      </c>
      <c r="B108" s="14"/>
      <c r="C108" s="14"/>
      <c r="D108" s="14"/>
      <c r="E108" s="8"/>
      <c r="F108" s="8"/>
    </row>
    <row r="109" spans="1:6" ht="26" customHeight="1">
      <c r="A109" s="8"/>
      <c r="B109" s="8"/>
      <c r="C109" s="8"/>
      <c r="D109" s="8"/>
      <c r="E109" s="8"/>
      <c r="F109" s="8"/>
    </row>
    <row r="110" spans="1:6" ht="30" customHeight="1">
      <c r="A110" s="18" t="s">
        <v>172</v>
      </c>
      <c r="B110" s="18"/>
      <c r="C110" s="18"/>
      <c r="D110" s="18"/>
      <c r="E110" s="18"/>
      <c r="F110" s="18"/>
    </row>
    <row r="111" spans="1:6" ht="30" customHeight="1">
      <c r="A111" s="18" t="s">
        <v>177</v>
      </c>
      <c r="B111" s="18"/>
      <c r="C111" s="18"/>
      <c r="D111" s="18"/>
      <c r="E111" s="18"/>
      <c r="F111" s="18"/>
    </row>
    <row r="112" spans="1:6" ht="30" customHeight="1">
      <c r="A112" s="18" t="s">
        <v>173</v>
      </c>
      <c r="B112" s="18"/>
      <c r="C112" s="18"/>
      <c r="D112" s="18"/>
      <c r="E112" s="18"/>
      <c r="F112" s="18"/>
    </row>
    <row r="113" spans="1:6" ht="30" customHeight="1">
      <c r="A113" s="18" t="s">
        <v>174</v>
      </c>
      <c r="B113" s="18"/>
      <c r="C113" s="18"/>
      <c r="D113" s="18"/>
      <c r="E113" s="18"/>
      <c r="F113" s="18"/>
    </row>
    <row r="114" spans="1:6" ht="26" customHeight="1"/>
    <row r="115" spans="1:6" ht="26" customHeight="1"/>
    <row r="116" spans="1:6" ht="26" customHeight="1"/>
    <row r="117" spans="1:6" ht="26" customHeight="1">
      <c r="A117" s="8"/>
      <c r="B117" s="8"/>
      <c r="C117" s="8"/>
      <c r="D117" s="8"/>
      <c r="E117" s="8"/>
      <c r="F117" s="8"/>
    </row>
    <row r="118" spans="1:6" ht="26" customHeight="1">
      <c r="A118" s="8"/>
      <c r="B118" s="8"/>
      <c r="C118" s="8"/>
      <c r="D118" s="8"/>
      <c r="E118" s="8"/>
      <c r="F118" s="8"/>
    </row>
    <row r="119" spans="1:6" ht="26" customHeight="1">
      <c r="A119" s="8"/>
      <c r="B119" s="8"/>
      <c r="C119" s="8"/>
      <c r="D119" s="8"/>
      <c r="E119" s="8"/>
      <c r="F119" s="8"/>
    </row>
    <row r="120" spans="1:6" ht="26" customHeight="1">
      <c r="A120" s="8"/>
      <c r="B120" s="8"/>
      <c r="C120" s="8"/>
      <c r="D120" s="8"/>
      <c r="E120" s="8"/>
      <c r="F120" s="8"/>
    </row>
  </sheetData>
  <mergeCells count="39">
    <mergeCell ref="A2:F2"/>
    <mergeCell ref="A3:F3"/>
    <mergeCell ref="A5:F5"/>
    <mergeCell ref="A6:F6"/>
    <mergeCell ref="A7:F7"/>
    <mergeCell ref="A14:F14"/>
    <mergeCell ref="A16:F16"/>
    <mergeCell ref="A17:F17"/>
    <mergeCell ref="D22:F22"/>
    <mergeCell ref="D23:F23"/>
    <mergeCell ref="D24:F24"/>
    <mergeCell ref="A26:F26"/>
    <mergeCell ref="A27:F27"/>
    <mergeCell ref="A29:F29"/>
    <mergeCell ref="A30:F30"/>
    <mergeCell ref="A38:F38"/>
    <mergeCell ref="A45:F45"/>
    <mergeCell ref="A46:F46"/>
    <mergeCell ref="A47:F47"/>
    <mergeCell ref="A55:F55"/>
    <mergeCell ref="A62:F62"/>
    <mergeCell ref="A63:F63"/>
    <mergeCell ref="A64:F64"/>
    <mergeCell ref="A68:F68"/>
    <mergeCell ref="A77:F77"/>
    <mergeCell ref="A78:F78"/>
    <mergeCell ref="A79:F79"/>
    <mergeCell ref="A80:F80"/>
    <mergeCell ref="A81:F81"/>
    <mergeCell ref="A83:F83"/>
    <mergeCell ref="A110:F110"/>
    <mergeCell ref="A111:F111"/>
    <mergeCell ref="A112:F112"/>
    <mergeCell ref="A113:F113"/>
    <mergeCell ref="A90:F90"/>
    <mergeCell ref="A97:F97"/>
    <mergeCell ref="A98:F98"/>
    <mergeCell ref="A99:F99"/>
    <mergeCell ref="A103:F10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 数式の入力</vt:lpstr>
      <vt:lpstr>2. 関数の入力</vt:lpstr>
      <vt:lpstr>3. 相対参照と絶対参照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　協</cp:lastModifiedBy>
  <dcterms:created xsi:type="dcterms:W3CDTF">2026-09-12T16:07:58Z</dcterms:created>
  <dcterms:modified xsi:type="dcterms:W3CDTF">2026-09-12T16:27:36Z</dcterms:modified>
</cp:coreProperties>
</file>